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8010"/>
  </bookViews>
  <sheets>
    <sheet name="Board" sheetId="1" r:id="rId1"/>
    <sheet name="Pieces" sheetId="2" r:id="rId2"/>
  </sheets>
  <functionGroups/>
  <calcPr calcId="124519"/>
</workbook>
</file>

<file path=xl/calcChain.xml><?xml version="1.0" encoding="utf-8"?>
<calcChain xmlns="http://schemas.openxmlformats.org/spreadsheetml/2006/main">
  <c r="J67" i="1"/>
  <c r="J68"/>
  <c r="J69"/>
  <c r="J70"/>
  <c r="J71"/>
  <c r="J72"/>
  <c r="J73"/>
  <c r="J66"/>
  <c r="A62" i="2" l="1"/>
  <c r="A61"/>
</calcChain>
</file>

<file path=xl/sharedStrings.xml><?xml version="1.0" encoding="utf-8"?>
<sst xmlns="http://schemas.openxmlformats.org/spreadsheetml/2006/main" count="402" uniqueCount="187">
  <si>
    <t>MEDITERRANEAN AVENUE</t>
  </si>
  <si>
    <t>COMMUNITY CHEST</t>
  </si>
  <si>
    <t>BALTIC AVENUE</t>
  </si>
  <si>
    <t>INCOME TAX</t>
  </si>
  <si>
    <t>READING RAILROAD</t>
  </si>
  <si>
    <t>ORIENTAL AVENUE</t>
  </si>
  <si>
    <t>CHANCE</t>
  </si>
  <si>
    <t>VERMONT AVENUE</t>
  </si>
  <si>
    <t>CONNECTICUT AVENUE</t>
  </si>
  <si>
    <t>NEW YORK AVENUE</t>
  </si>
  <si>
    <t>TENNESSEE AVENUE</t>
  </si>
  <si>
    <t>ST. JAMES PLACE</t>
  </si>
  <si>
    <t>PENNSYLVANIA RAILROAD</t>
  </si>
  <si>
    <t>VIRGINIA AVENUE</t>
  </si>
  <si>
    <t>STATES AVENUE</t>
  </si>
  <si>
    <t>ST. CHARLES PLACE</t>
  </si>
  <si>
    <t>ELECTRIC COMPANY</t>
  </si>
  <si>
    <t>FREE PARKING</t>
  </si>
  <si>
    <t>KENTUCKY AVENUE</t>
  </si>
  <si>
    <t>INDIANA AVENUE</t>
  </si>
  <si>
    <t>ILLINOIS AVENUE</t>
  </si>
  <si>
    <t>B&amp;O RAILROAD</t>
  </si>
  <si>
    <t>ATLANTIC AVENUE</t>
  </si>
  <si>
    <t>VENTOR AVENUE</t>
  </si>
  <si>
    <t>WATER WORKS</t>
  </si>
  <si>
    <t>MARVIN GARDENS</t>
  </si>
  <si>
    <t>GO TO JAIL</t>
  </si>
  <si>
    <t>PACIFIC AVENUE</t>
  </si>
  <si>
    <t>NORTH CAROLINA AVENUE</t>
  </si>
  <si>
    <t>PENNSYLVANIA AVENUE</t>
  </si>
  <si>
    <t>SHORT LINE</t>
  </si>
  <si>
    <t>PARK PLACE</t>
  </si>
  <si>
    <t>LUXURY TAX</t>
  </si>
  <si>
    <t>BOARDWALK</t>
  </si>
  <si>
    <t>MONOPOLY</t>
  </si>
  <si>
    <t>Iron</t>
  </si>
  <si>
    <t>JUST</t>
  </si>
  <si>
    <t>VISITING</t>
  </si>
  <si>
    <t>IN                                 JAIL</t>
  </si>
  <si>
    <t>?</t>
  </si>
  <si>
    <t>Collect $200
as you pass
GO</t>
  </si>
  <si>
    <t>Dog</t>
  </si>
  <si>
    <t>Hat</t>
  </si>
  <si>
    <t>Car</t>
  </si>
  <si>
    <t>icon</t>
  </si>
  <si>
    <t>position</t>
  </si>
  <si>
    <t>player number</t>
  </si>
  <si>
    <t>roll number</t>
  </si>
  <si>
    <t>houses</t>
  </si>
  <si>
    <t>hotels</t>
  </si>
  <si>
    <t>Lindsay</t>
  </si>
  <si>
    <t>Anne Marie</t>
  </si>
  <si>
    <t>Go</t>
  </si>
  <si>
    <t>Mediterranean Avenue</t>
  </si>
  <si>
    <t>Community Chest</t>
  </si>
  <si>
    <t>Baltic Avenue</t>
  </si>
  <si>
    <t>Income Tax</t>
  </si>
  <si>
    <t>Reading Railroad</t>
  </si>
  <si>
    <t>Oriental Avenue</t>
  </si>
  <si>
    <t>Chance</t>
  </si>
  <si>
    <t>Vermont Avenue</t>
  </si>
  <si>
    <t>Connecticut Avenue</t>
  </si>
  <si>
    <t>Just Visiting</t>
  </si>
  <si>
    <t>St. Charles Place</t>
  </si>
  <si>
    <t>Electric Company</t>
  </si>
  <si>
    <t>States Avenue</t>
  </si>
  <si>
    <t>Virginia Avenue</t>
  </si>
  <si>
    <t>Pennsylvania Railroad</t>
  </si>
  <si>
    <t>St. James Place</t>
  </si>
  <si>
    <t>Tennessee Avenue</t>
  </si>
  <si>
    <t>New York Avenue</t>
  </si>
  <si>
    <t>Free Parking</t>
  </si>
  <si>
    <t>Kentucky Avenue</t>
  </si>
  <si>
    <t>Indiana Avenue</t>
  </si>
  <si>
    <t>Illinois Avenue</t>
  </si>
  <si>
    <t>B&amp;O Railroad</t>
  </si>
  <si>
    <t>Atlantic Avenue</t>
  </si>
  <si>
    <t>Ventor Avenue</t>
  </si>
  <si>
    <t>Water Works</t>
  </si>
  <si>
    <t>Marvin Gardens</t>
  </si>
  <si>
    <t>Go To Jail</t>
  </si>
  <si>
    <t>Pacific Avenue</t>
  </si>
  <si>
    <t>North Carolina Avenue</t>
  </si>
  <si>
    <t>Pennsylvania Avenue</t>
  </si>
  <si>
    <t>Short Line</t>
  </si>
  <si>
    <t>Park Place</t>
  </si>
  <si>
    <t>Luxury Tax</t>
  </si>
  <si>
    <t>Boardwalk</t>
  </si>
  <si>
    <t>Jail</t>
  </si>
  <si>
    <t>#</t>
  </si>
  <si>
    <t>Name</t>
  </si>
  <si>
    <t>Cost</t>
  </si>
  <si>
    <t>House Cost</t>
  </si>
  <si>
    <t>Hotel Cost</t>
  </si>
  <si>
    <t>Rent</t>
  </si>
  <si>
    <t>Owner</t>
  </si>
  <si>
    <t>Construction</t>
  </si>
  <si>
    <t>Color</t>
  </si>
  <si>
    <t>N/A</t>
  </si>
  <si>
    <t>e</t>
  </si>
  <si>
    <t>J</t>
  </si>
  <si>
    <t>Number</t>
  </si>
  <si>
    <t>Message</t>
  </si>
  <si>
    <t>Advance to Go</t>
  </si>
  <si>
    <t>Bank Error In Your Favor (Collect $200)</t>
  </si>
  <si>
    <t>Collect $50 from Every Player for opening night seats</t>
  </si>
  <si>
    <t>YourMoney</t>
  </si>
  <si>
    <t>TheirMoney</t>
  </si>
  <si>
    <t>Position</t>
  </si>
  <si>
    <t>Doctor's Fee Pay $50</t>
  </si>
  <si>
    <t>From Sale of Stock You Get $45</t>
  </si>
  <si>
    <t>Get Out of Jail Free</t>
  </si>
  <si>
    <t>Go to Jail</t>
  </si>
  <si>
    <t>Income Tax Refund Collect $20</t>
  </si>
  <si>
    <t>Life Insurance Matures Collect $100</t>
  </si>
  <si>
    <t>Pay Hospital $100</t>
  </si>
  <si>
    <t>Pay School Tax of $150</t>
  </si>
  <si>
    <t>Receive for Services $25</t>
  </si>
  <si>
    <t>Second Prize Beauty Contest Collect $10</t>
  </si>
  <si>
    <t>PerHouse</t>
  </si>
  <si>
    <t>PerHotel</t>
  </si>
  <si>
    <t>You are assessed for Street Repairs $40/house $115/hotel</t>
  </si>
  <si>
    <t>You Inherit $100</t>
  </si>
  <si>
    <t>Advance to St. Charles Place</t>
  </si>
  <si>
    <t>Advance to Illinois Avenue</t>
  </si>
  <si>
    <t>Advance to Nearest Utility</t>
  </si>
  <si>
    <t>Advance to nearest Railroad</t>
  </si>
  <si>
    <t>Advance Token to Boardwalk</t>
  </si>
  <si>
    <t>Utility</t>
  </si>
  <si>
    <t>Railroad</t>
  </si>
  <si>
    <t>Bank Pays you Dividend of $50</t>
  </si>
  <si>
    <t>Elected Chairman of Board Pay $50</t>
  </si>
  <si>
    <t>Go Back 3 Spaces</t>
  </si>
  <si>
    <t>Go Directly to Jail</t>
  </si>
  <si>
    <t>Make General Repairs on Your Property $25/house $100/hotel</t>
  </si>
  <si>
    <t>Pay Poor Tax of $15</t>
  </si>
  <si>
    <t>Take a Ride on the Reading Railroad</t>
  </si>
  <si>
    <t>Your Building and Loan Matures Collect $150</t>
  </si>
  <si>
    <t>Amount</t>
  </si>
  <si>
    <t>Chance cards remaining</t>
  </si>
  <si>
    <t>Community Chest cards remaining</t>
  </si>
  <si>
    <t>Don</t>
  </si>
  <si>
    <t>Pay 10%
or $200</t>
  </si>
  <si>
    <t>Violet</t>
  </si>
  <si>
    <t>Cyan</t>
  </si>
  <si>
    <t>Purple</t>
  </si>
  <si>
    <t>Orange</t>
  </si>
  <si>
    <t>Red</t>
  </si>
  <si>
    <t>Yellow</t>
  </si>
  <si>
    <t>Green</t>
  </si>
  <si>
    <t>Blue</t>
  </si>
  <si>
    <t>Railroads</t>
  </si>
  <si>
    <t>Utilities</t>
  </si>
  <si>
    <t>Morgaged?</t>
  </si>
  <si>
    <t>Computer</t>
  </si>
  <si>
    <t>Person</t>
  </si>
  <si>
    <t>Player Options</t>
  </si>
  <si>
    <t>Icon</t>
  </si>
  <si>
    <t>Player Type</t>
  </si>
  <si>
    <t>Aggressive</t>
  </si>
  <si>
    <t>Money</t>
  </si>
  <si>
    <t>IconOptions</t>
  </si>
  <si>
    <t>Thimble</t>
  </si>
  <si>
    <t>Wheelbarrow</t>
  </si>
  <si>
    <t>Shoe</t>
  </si>
  <si>
    <t>Ship</t>
  </si>
  <si>
    <t>Complex</t>
  </si>
  <si>
    <t>instances</t>
  </si>
  <si>
    <t>pieces ID</t>
  </si>
  <si>
    <t>board ID</t>
  </si>
  <si>
    <t>BroDvd</t>
  </si>
  <si>
    <t>Basic</t>
  </si>
  <si>
    <t>Kentucky</t>
  </si>
  <si>
    <t>Reading, B&amp;O</t>
  </si>
  <si>
    <t>Pennsylvania</t>
  </si>
  <si>
    <t>Ventor, Marvin</t>
  </si>
  <si>
    <t>Pacific, Pennsylvania, North Carolina</t>
  </si>
  <si>
    <t>Mediterranean, Baltic</t>
  </si>
  <si>
    <t>H</t>
  </si>
  <si>
    <t>B</t>
  </si>
  <si>
    <t>F</t>
  </si>
  <si>
    <t>Tennessee, St. James, New York</t>
  </si>
  <si>
    <t>Indiana, Illinois</t>
  </si>
  <si>
    <t>Boardwalk, Park Place</t>
  </si>
  <si>
    <t>Atlantic</t>
  </si>
  <si>
    <t>States, Virginia, St. Charles</t>
  </si>
  <si>
    <t>Oriental, Connecticut, Vermont</t>
  </si>
</sst>
</file>

<file path=xl/styles.xml><?xml version="1.0" encoding="utf-8"?>
<styleSheet xmlns="http://schemas.openxmlformats.org/spreadsheetml/2006/main">
  <numFmts count="3">
    <numFmt numFmtId="164" formatCode="&quot;$&quot;#,##0.00_);\(&quot;$&quot;#,##0.00\)"/>
    <numFmt numFmtId="165" formatCode="_(&quot;$&quot;* #,##0.00_);_(&quot;$&quot;* \(#,##0.00\);_(&quot;$&quot;* &quot;-&quot;??_);_(@_)"/>
    <numFmt numFmtId="166" formatCode="_(&quot;$&quot;* #,##0_);_(&quot;$&quot;* \(#,##0\);_(&quot;$&quot;* &quot;-&quot;??_);_(@_)"/>
  </numFmts>
  <fonts count="2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7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48"/>
      <color theme="1"/>
      <name val="Webdings"/>
      <family val="1"/>
      <charset val="2"/>
    </font>
    <font>
      <sz val="48"/>
      <color theme="1"/>
      <name val="MS Outlook"/>
      <charset val="2"/>
    </font>
    <font>
      <sz val="48"/>
      <color theme="1"/>
      <name val="Wingdings"/>
      <charset val="2"/>
    </font>
    <font>
      <sz val="72"/>
      <color theme="1"/>
      <name val="Webdings"/>
      <family val="1"/>
      <charset val="2"/>
    </font>
    <font>
      <sz val="36"/>
      <color theme="1"/>
      <name val="Webdings"/>
      <family val="1"/>
      <charset val="2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24"/>
      <color theme="1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600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172">
    <xf numFmtId="0" fontId="0" fillId="0" borderId="0" xfId="0"/>
    <xf numFmtId="0" fontId="0" fillId="0" borderId="3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11" borderId="0" xfId="0" applyFill="1"/>
    <xf numFmtId="0" fontId="0" fillId="0" borderId="2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6" borderId="1" xfId="0" applyFill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7" borderId="1" xfId="0" applyFill="1" applyBorder="1" applyAlignment="1">
      <alignment horizontal="center" wrapText="1"/>
    </xf>
    <xf numFmtId="0" fontId="0" fillId="7" borderId="12" xfId="0" applyFill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8" borderId="1" xfId="0" applyFill="1" applyBorder="1" applyAlignment="1">
      <alignment horizontal="center" textRotation="180" wrapText="1"/>
    </xf>
    <xf numFmtId="0" fontId="0" fillId="4" borderId="1" xfId="0" applyFill="1" applyBorder="1" applyAlignment="1">
      <alignment horizontal="center" textRotation="90" wrapText="1"/>
    </xf>
    <xf numFmtId="0" fontId="0" fillId="9" borderId="1" xfId="0" applyFill="1" applyBorder="1" applyAlignment="1">
      <alignment horizontal="center" textRotation="180" wrapText="1"/>
    </xf>
    <xf numFmtId="0" fontId="0" fillId="9" borderId="15" xfId="0" applyFill="1" applyBorder="1" applyAlignment="1">
      <alignment horizontal="center" textRotation="180" wrapText="1"/>
    </xf>
    <xf numFmtId="0" fontId="0" fillId="5" borderId="1" xfId="0" applyFill="1" applyBorder="1" applyAlignment="1">
      <alignment horizontal="center" textRotation="90" wrapText="1"/>
    </xf>
    <xf numFmtId="0" fontId="0" fillId="3" borderId="1" xfId="0" applyFill="1" applyBorder="1" applyAlignment="1">
      <alignment horizontal="center" wrapText="1"/>
    </xf>
    <xf numFmtId="0" fontId="0" fillId="2" borderId="1" xfId="0" applyFill="1" applyBorder="1" applyAlignment="1">
      <alignment horizontal="center" wrapText="1"/>
    </xf>
    <xf numFmtId="0" fontId="0" fillId="10" borderId="0" xfId="0" applyFill="1" applyAlignment="1">
      <alignment horizontal="center" wrapText="1"/>
    </xf>
    <xf numFmtId="0" fontId="0" fillId="10" borderId="0" xfId="0" applyFill="1" applyAlignment="1">
      <alignment horizontal="center" vertical="top" wrapText="1"/>
    </xf>
    <xf numFmtId="0" fontId="0" fillId="10" borderId="0" xfId="0" applyFill="1" applyBorder="1" applyAlignment="1">
      <alignment horizontal="center" wrapText="1"/>
    </xf>
    <xf numFmtId="0" fontId="6" fillId="12" borderId="4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0" fillId="10" borderId="6" xfId="0" applyFill="1" applyBorder="1" applyAlignment="1">
      <alignment horizontal="center" wrapText="1"/>
    </xf>
    <xf numFmtId="0" fontId="2" fillId="10" borderId="5" xfId="0" applyFont="1" applyFill="1" applyBorder="1" applyAlignment="1">
      <alignment horizontal="center" vertical="center" wrapText="1"/>
    </xf>
    <xf numFmtId="0" fontId="2" fillId="10" borderId="6" xfId="0" applyFont="1" applyFill="1" applyBorder="1" applyAlignment="1">
      <alignment horizontal="center" vertical="center" wrapText="1"/>
    </xf>
    <xf numFmtId="0" fontId="2" fillId="10" borderId="0" xfId="0" applyFont="1" applyFill="1" applyBorder="1" applyAlignment="1">
      <alignment horizontal="center" vertical="top" wrapText="1"/>
    </xf>
    <xf numFmtId="0" fontId="0" fillId="10" borderId="10" xfId="0" applyFill="1" applyBorder="1" applyAlignment="1">
      <alignment horizontal="center" vertical="center" textRotation="180" wrapText="1"/>
    </xf>
    <xf numFmtId="0" fontId="2" fillId="10" borderId="11" xfId="0" applyFont="1" applyFill="1" applyBorder="1" applyAlignment="1">
      <alignment horizontal="center" vertical="center" textRotation="180" wrapText="1"/>
    </xf>
    <xf numFmtId="0" fontId="0" fillId="10" borderId="2" xfId="0" applyFill="1" applyBorder="1" applyAlignment="1">
      <alignment horizontal="center" vertical="center" textRotation="180" wrapText="1"/>
    </xf>
    <xf numFmtId="0" fontId="2" fillId="10" borderId="3" xfId="0" applyFont="1" applyFill="1" applyBorder="1" applyAlignment="1">
      <alignment horizontal="center" vertical="center" textRotation="180" wrapText="1"/>
    </xf>
    <xf numFmtId="0" fontId="0" fillId="10" borderId="7" xfId="0" applyFill="1" applyBorder="1" applyAlignment="1">
      <alignment horizontal="center" vertical="center" textRotation="180" wrapText="1"/>
    </xf>
    <xf numFmtId="0" fontId="2" fillId="10" borderId="8" xfId="0" applyFont="1" applyFill="1" applyBorder="1" applyAlignment="1">
      <alignment horizontal="center" vertical="center" textRotation="180" wrapText="1"/>
    </xf>
    <xf numFmtId="0" fontId="2" fillId="10" borderId="0" xfId="0" applyFont="1" applyFill="1" applyBorder="1" applyAlignment="1">
      <alignment horizontal="center" vertical="center" wrapText="1"/>
    </xf>
    <xf numFmtId="0" fontId="2" fillId="10" borderId="3" xfId="0" applyFont="1" applyFill="1" applyBorder="1" applyAlignment="1">
      <alignment horizontal="center" vertical="center" textRotation="90" wrapText="1"/>
    </xf>
    <xf numFmtId="0" fontId="0" fillId="10" borderId="4" xfId="0" applyFill="1" applyBorder="1" applyAlignment="1">
      <alignment horizontal="center" vertical="center" textRotation="90" wrapText="1"/>
    </xf>
    <xf numFmtId="0" fontId="0" fillId="10" borderId="12" xfId="0" applyFill="1" applyBorder="1" applyAlignment="1">
      <alignment horizontal="center" vertical="center" textRotation="90" wrapText="1"/>
    </xf>
    <xf numFmtId="0" fontId="2" fillId="10" borderId="8" xfId="0" applyFont="1" applyFill="1" applyBorder="1" applyAlignment="1">
      <alignment horizontal="center" vertical="center" textRotation="90" wrapText="1"/>
    </xf>
    <xf numFmtId="0" fontId="0" fillId="10" borderId="9" xfId="0" applyFill="1" applyBorder="1" applyAlignment="1">
      <alignment horizontal="center" vertical="center" textRotation="90" wrapText="1"/>
    </xf>
    <xf numFmtId="0" fontId="0" fillId="0" borderId="0" xfId="0" applyAlignment="1">
      <alignment horizontal="right"/>
    </xf>
    <xf numFmtId="0" fontId="0" fillId="2" borderId="0" xfId="0" applyFill="1"/>
    <xf numFmtId="0" fontId="0" fillId="3" borderId="0" xfId="0" applyFill="1"/>
    <xf numFmtId="0" fontId="0" fillId="9" borderId="0" xfId="0" applyFill="1"/>
    <xf numFmtId="0" fontId="0" fillId="8" borderId="0" xfId="0" applyFill="1"/>
    <xf numFmtId="0" fontId="0" fillId="6" borderId="0" xfId="0" applyFill="1"/>
    <xf numFmtId="0" fontId="0" fillId="7" borderId="0" xfId="0" applyFill="1"/>
    <xf numFmtId="0" fontId="0" fillId="4" borderId="0" xfId="0" applyFill="1"/>
    <xf numFmtId="0" fontId="0" fillId="5" borderId="0" xfId="0" applyFill="1"/>
    <xf numFmtId="0" fontId="0" fillId="0" borderId="13" xfId="0" applyBorder="1" applyAlignment="1">
      <alignment horizontal="center" vertical="center" wrapText="1"/>
    </xf>
    <xf numFmtId="0" fontId="10" fillId="10" borderId="14" xfId="0" applyFont="1" applyFill="1" applyBorder="1" applyAlignment="1">
      <alignment horizontal="center" vertical="center" wrapText="1"/>
    </xf>
    <xf numFmtId="0" fontId="0" fillId="8" borderId="13" xfId="0" applyFill="1" applyBorder="1" applyAlignment="1">
      <alignment horizontal="center" textRotation="180" wrapText="1"/>
    </xf>
    <xf numFmtId="0" fontId="0" fillId="10" borderId="5" xfId="0" applyFill="1" applyBorder="1" applyAlignment="1">
      <alignment horizontal="center" vertical="center" textRotation="180" wrapText="1"/>
    </xf>
    <xf numFmtId="0" fontId="2" fillId="10" borderId="0" xfId="0" applyFont="1" applyFill="1" applyBorder="1" applyAlignment="1">
      <alignment horizontal="center" vertical="center" textRotation="180" wrapText="1"/>
    </xf>
    <xf numFmtId="0" fontId="10" fillId="10" borderId="11" xfId="0" applyFont="1" applyFill="1" applyBorder="1" applyAlignment="1">
      <alignment horizontal="center" vertical="center" textRotation="180" wrapText="1"/>
    </xf>
    <xf numFmtId="0" fontId="10" fillId="10" borderId="3" xfId="0" applyFont="1" applyFill="1" applyBorder="1" applyAlignment="1">
      <alignment horizontal="center" vertical="center" textRotation="90" wrapText="1"/>
    </xf>
    <xf numFmtId="0" fontId="0" fillId="0" borderId="7" xfId="0" applyBorder="1" applyAlignment="1">
      <alignment horizontal="center" vertical="center" textRotation="90" wrapText="1"/>
    </xf>
    <xf numFmtId="0" fontId="7" fillId="0" borderId="7" xfId="0" applyFont="1" applyBorder="1" applyAlignment="1">
      <alignment horizontal="center" vertical="center" textRotation="90" wrapText="1"/>
    </xf>
    <xf numFmtId="0" fontId="10" fillId="10" borderId="14" xfId="0" applyFont="1" applyFill="1" applyBorder="1" applyAlignment="1">
      <alignment horizontal="center" wrapText="1"/>
    </xf>
    <xf numFmtId="0" fontId="0" fillId="6" borderId="10" xfId="0" applyFill="1" applyBorder="1" applyAlignment="1">
      <alignment horizontal="center" wrapText="1"/>
    </xf>
    <xf numFmtId="0" fontId="0" fillId="4" borderId="13" xfId="0" applyFill="1" applyBorder="1" applyAlignment="1">
      <alignment horizontal="center" textRotation="90" wrapText="1"/>
    </xf>
    <xf numFmtId="0" fontId="0" fillId="8" borderId="14" xfId="0" applyFill="1" applyBorder="1" applyAlignment="1">
      <alignment horizontal="center" textRotation="180" wrapText="1"/>
    </xf>
    <xf numFmtId="0" fontId="10" fillId="10" borderId="11" xfId="0" applyFont="1" applyFill="1" applyBorder="1" applyAlignment="1">
      <alignment horizontal="center" textRotation="180" wrapText="1"/>
    </xf>
    <xf numFmtId="0" fontId="10" fillId="10" borderId="11" xfId="0" applyFont="1" applyFill="1" applyBorder="1" applyAlignment="1">
      <alignment horizontal="center" textRotation="90" wrapText="1"/>
    </xf>
    <xf numFmtId="0" fontId="12" fillId="10" borderId="6" xfId="0" applyFont="1" applyFill="1" applyBorder="1" applyAlignment="1">
      <alignment horizontal="center" wrapText="1"/>
    </xf>
    <xf numFmtId="0" fontId="7" fillId="0" borderId="7" xfId="0" applyFont="1" applyFill="1" applyBorder="1" applyAlignment="1">
      <alignment horizontal="center" vertical="center" wrapText="1"/>
    </xf>
    <xf numFmtId="0" fontId="7" fillId="0" borderId="8" xfId="0" applyFont="1" applyFill="1" applyBorder="1" applyAlignment="1">
      <alignment horizontal="center" vertical="center" wrapText="1"/>
    </xf>
    <xf numFmtId="0" fontId="7" fillId="0" borderId="9" xfId="0" applyFont="1" applyFill="1" applyBorder="1" applyAlignment="1">
      <alignment horizontal="center" vertical="center" wrapText="1"/>
    </xf>
    <xf numFmtId="0" fontId="0" fillId="0" borderId="8" xfId="0" applyBorder="1"/>
    <xf numFmtId="0" fontId="0" fillId="0" borderId="0" xfId="0" applyFill="1" applyBorder="1"/>
    <xf numFmtId="0" fontId="0" fillId="0" borderId="8" xfId="0" applyFill="1" applyBorder="1"/>
    <xf numFmtId="0" fontId="13" fillId="0" borderId="0" xfId="0" applyFont="1" applyBorder="1"/>
    <xf numFmtId="0" fontId="4" fillId="0" borderId="0" xfId="0" applyFont="1" applyFill="1"/>
    <xf numFmtId="0" fontId="6" fillId="12" borderId="0" xfId="0" applyFont="1" applyFill="1"/>
    <xf numFmtId="0" fontId="14" fillId="10" borderId="6" xfId="0" applyFont="1" applyFill="1" applyBorder="1" applyAlignment="1">
      <alignment horizontal="center" wrapText="1"/>
    </xf>
    <xf numFmtId="0" fontId="14" fillId="10" borderId="0" xfId="0" applyFont="1" applyFill="1" applyBorder="1" applyAlignment="1">
      <alignment horizontal="center" wrapText="1"/>
    </xf>
    <xf numFmtId="0" fontId="14" fillId="10" borderId="5" xfId="0" applyFont="1" applyFill="1" applyBorder="1" applyAlignment="1">
      <alignment horizontal="center" wrapText="1"/>
    </xf>
    <xf numFmtId="0" fontId="14" fillId="10" borderId="8" xfId="0" applyFont="1" applyFill="1" applyBorder="1" applyAlignment="1">
      <alignment horizontal="center" vertical="center" textRotation="90" wrapText="1"/>
    </xf>
    <xf numFmtId="0" fontId="14" fillId="10" borderId="3" xfId="0" applyFont="1" applyFill="1" applyBorder="1" applyAlignment="1">
      <alignment horizontal="center" vertical="center" textRotation="90" wrapText="1"/>
    </xf>
    <xf numFmtId="0" fontId="14" fillId="10" borderId="11" xfId="0" applyFont="1" applyFill="1" applyBorder="1" applyAlignment="1">
      <alignment horizontal="center" vertical="center" textRotation="180" wrapText="1"/>
    </xf>
    <xf numFmtId="0" fontId="14" fillId="10" borderId="3" xfId="0" applyFont="1" applyFill="1" applyBorder="1" applyAlignment="1">
      <alignment horizontal="center" vertical="center" textRotation="180" wrapText="1"/>
    </xf>
    <xf numFmtId="0" fontId="14" fillId="10" borderId="0" xfId="0" applyFont="1" applyFill="1" applyBorder="1" applyAlignment="1">
      <alignment horizontal="center" vertical="center" textRotation="180" wrapText="1"/>
    </xf>
    <xf numFmtId="0" fontId="14" fillId="10" borderId="8" xfId="0" applyFont="1" applyFill="1" applyBorder="1" applyAlignment="1">
      <alignment horizontal="center" vertical="center" textRotation="180" wrapText="1"/>
    </xf>
    <xf numFmtId="0" fontId="0" fillId="0" borderId="0" xfId="0" applyBorder="1"/>
    <xf numFmtId="0" fontId="6" fillId="0" borderId="0" xfId="0" applyFont="1"/>
    <xf numFmtId="0" fontId="16" fillId="0" borderId="1" xfId="0" applyFont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7" fillId="9" borderId="1" xfId="0" applyFont="1" applyFill="1" applyBorder="1" applyAlignment="1">
      <alignment horizontal="center" vertical="center"/>
    </xf>
    <xf numFmtId="0" fontId="17" fillId="8" borderId="1" xfId="0" applyFont="1" applyFill="1" applyBorder="1" applyAlignment="1">
      <alignment horizontal="center" vertical="center"/>
    </xf>
    <xf numFmtId="0" fontId="17" fillId="6" borderId="1" xfId="0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center" vertical="center"/>
    </xf>
    <xf numFmtId="0" fontId="18" fillId="7" borderId="1" xfId="0" applyFont="1" applyFill="1" applyBorder="1" applyAlignment="1">
      <alignment horizontal="center" vertical="center"/>
    </xf>
    <xf numFmtId="0" fontId="18" fillId="3" borderId="1" xfId="0" applyFont="1" applyFill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0" fillId="10" borderId="0" xfId="0" applyFill="1"/>
    <xf numFmtId="0" fontId="19" fillId="10" borderId="0" xfId="0" applyFont="1" applyFill="1"/>
    <xf numFmtId="0" fontId="15" fillId="10" borderId="0" xfId="0" applyFont="1" applyFill="1"/>
    <xf numFmtId="0" fontId="20" fillId="10" borderId="0" xfId="0" applyFont="1" applyFill="1"/>
    <xf numFmtId="0" fontId="21" fillId="10" borderId="0" xfId="0" applyFont="1" applyFill="1"/>
    <xf numFmtId="0" fontId="6" fillId="12" borderId="3" xfId="0" applyFon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center" vertical="center" wrapText="1"/>
    </xf>
    <xf numFmtId="0" fontId="22" fillId="0" borderId="0" xfId="0" applyFont="1"/>
    <xf numFmtId="0" fontId="6" fillId="12" borderId="3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164" fontId="16" fillId="0" borderId="1" xfId="0" applyNumberFormat="1" applyFont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 wrapText="1"/>
    </xf>
    <xf numFmtId="0" fontId="3" fillId="10" borderId="3" xfId="0" applyFont="1" applyFill="1" applyBorder="1" applyAlignment="1">
      <alignment horizontal="center" vertical="center" wrapText="1"/>
    </xf>
    <xf numFmtId="0" fontId="3" fillId="10" borderId="4" xfId="0" applyFont="1" applyFill="1" applyBorder="1" applyAlignment="1">
      <alignment horizontal="center" vertical="center" wrapText="1"/>
    </xf>
    <xf numFmtId="0" fontId="3" fillId="10" borderId="5" xfId="0" applyFont="1" applyFill="1" applyBorder="1" applyAlignment="1">
      <alignment horizontal="center" vertical="center" wrapText="1"/>
    </xf>
    <xf numFmtId="0" fontId="3" fillId="10" borderId="0" xfId="0" applyFont="1" applyFill="1" applyBorder="1" applyAlignment="1">
      <alignment horizontal="center" vertical="center" wrapText="1"/>
    </xf>
    <xf numFmtId="0" fontId="3" fillId="10" borderId="6" xfId="0" applyFont="1" applyFill="1" applyBorder="1" applyAlignment="1">
      <alignment horizontal="center" vertical="center" wrapText="1"/>
    </xf>
    <xf numFmtId="0" fontId="3" fillId="10" borderId="7" xfId="0" applyFont="1" applyFill="1" applyBorder="1" applyAlignment="1">
      <alignment horizontal="center" vertical="center" wrapText="1"/>
    </xf>
    <xf numFmtId="0" fontId="3" fillId="10" borderId="8" xfId="0" applyFont="1" applyFill="1" applyBorder="1" applyAlignment="1">
      <alignment horizontal="center" vertical="center" wrapText="1"/>
    </xf>
    <xf numFmtId="0" fontId="3" fillId="10" borderId="9" xfId="0" applyFont="1" applyFill="1" applyBorder="1" applyAlignment="1">
      <alignment horizontal="center" vertical="center" wrapText="1"/>
    </xf>
    <xf numFmtId="0" fontId="7" fillId="10" borderId="14" xfId="0" applyFont="1" applyFill="1" applyBorder="1" applyAlignment="1">
      <alignment horizontal="center" vertical="center" wrapText="1"/>
    </xf>
    <xf numFmtId="0" fontId="7" fillId="10" borderId="15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8" borderId="2" xfId="0" applyFont="1" applyFill="1" applyBorder="1" applyAlignment="1">
      <alignment horizontal="center" vertical="center" wrapText="1"/>
    </xf>
    <xf numFmtId="0" fontId="3" fillId="8" borderId="4" xfId="0" applyFont="1" applyFill="1" applyBorder="1" applyAlignment="1">
      <alignment horizontal="center" vertical="center" wrapText="1"/>
    </xf>
    <xf numFmtId="0" fontId="3" fillId="8" borderId="7" xfId="0" applyFont="1" applyFill="1" applyBorder="1" applyAlignment="1">
      <alignment horizontal="center" vertical="center" wrapText="1"/>
    </xf>
    <xf numFmtId="0" fontId="3" fillId="8" borderId="9" xfId="0" applyFont="1" applyFill="1" applyBorder="1" applyAlignment="1">
      <alignment horizontal="center" vertical="center" wrapText="1"/>
    </xf>
    <xf numFmtId="0" fontId="3" fillId="10" borderId="2" xfId="0" applyFont="1" applyFill="1" applyBorder="1" applyAlignment="1">
      <alignment horizontal="center" textRotation="180" wrapText="1"/>
    </xf>
    <xf numFmtId="0" fontId="3" fillId="10" borderId="4" xfId="0" applyFont="1" applyFill="1" applyBorder="1" applyAlignment="1">
      <alignment horizontal="center" textRotation="180" wrapText="1"/>
    </xf>
    <xf numFmtId="0" fontId="3" fillId="10" borderId="5" xfId="0" applyFont="1" applyFill="1" applyBorder="1" applyAlignment="1">
      <alignment horizontal="center" textRotation="180" wrapText="1"/>
    </xf>
    <xf numFmtId="0" fontId="3" fillId="10" borderId="6" xfId="0" applyFont="1" applyFill="1" applyBorder="1" applyAlignment="1">
      <alignment horizontal="center" textRotation="180" wrapText="1"/>
    </xf>
    <xf numFmtId="0" fontId="0" fillId="8" borderId="16" xfId="0" applyFill="1" applyBorder="1" applyAlignment="1">
      <alignment horizontal="center" wrapText="1"/>
    </xf>
    <xf numFmtId="0" fontId="0" fillId="8" borderId="17" xfId="0" applyFill="1" applyBorder="1" applyAlignment="1">
      <alignment horizontal="center" wrapText="1"/>
    </xf>
    <xf numFmtId="0" fontId="3" fillId="10" borderId="0" xfId="0" applyFont="1" applyFill="1" applyAlignment="1">
      <alignment horizontal="center" wrapText="1"/>
    </xf>
    <xf numFmtId="0" fontId="5" fillId="10" borderId="0" xfId="0" applyFont="1" applyFill="1" applyAlignment="1">
      <alignment horizontal="center" vertical="center" wrapText="1"/>
    </xf>
    <xf numFmtId="0" fontId="0" fillId="7" borderId="16" xfId="0" applyFill="1" applyBorder="1" applyAlignment="1">
      <alignment horizontal="center" wrapText="1"/>
    </xf>
    <xf numFmtId="0" fontId="0" fillId="7" borderId="17" xfId="0" applyFill="1" applyBorder="1" applyAlignment="1">
      <alignment horizontal="center" wrapText="1"/>
    </xf>
    <xf numFmtId="0" fontId="23" fillId="10" borderId="0" xfId="0" applyFont="1" applyFill="1" applyBorder="1" applyAlignment="1">
      <alignment horizontal="center" vertical="top"/>
    </xf>
    <xf numFmtId="0" fontId="8" fillId="10" borderId="0" xfId="0" applyFont="1" applyFill="1" applyBorder="1" applyAlignment="1">
      <alignment horizontal="center" wrapText="1"/>
    </xf>
    <xf numFmtId="0" fontId="8" fillId="10" borderId="0" xfId="0" applyFont="1" applyFill="1" applyBorder="1" applyAlignment="1">
      <alignment horizontal="center"/>
    </xf>
    <xf numFmtId="0" fontId="9" fillId="10" borderId="14" xfId="0" applyFont="1" applyFill="1" applyBorder="1" applyAlignment="1">
      <alignment horizontal="center" wrapText="1"/>
    </xf>
    <xf numFmtId="0" fontId="0" fillId="10" borderId="14" xfId="0" applyFont="1" applyFill="1" applyBorder="1" applyAlignment="1">
      <alignment horizontal="center" vertical="center" wrapText="1"/>
    </xf>
    <xf numFmtId="0" fontId="0" fillId="10" borderId="15" xfId="0" applyFont="1" applyFill="1" applyBorder="1" applyAlignment="1">
      <alignment horizontal="center" vertical="center" wrapText="1"/>
    </xf>
    <xf numFmtId="0" fontId="9" fillId="10" borderId="14" xfId="0" applyFont="1" applyFill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textRotation="180" wrapText="1"/>
    </xf>
    <xf numFmtId="0" fontId="7" fillId="0" borderId="12" xfId="0" applyFont="1" applyBorder="1" applyAlignment="1">
      <alignment horizontal="center" vertical="center" textRotation="180" wrapText="1"/>
    </xf>
    <xf numFmtId="0" fontId="9" fillId="10" borderId="8" xfId="0" applyFont="1" applyFill="1" applyBorder="1" applyAlignment="1">
      <alignment horizontal="center" vertical="center" textRotation="90" wrapText="1"/>
    </xf>
    <xf numFmtId="0" fontId="11" fillId="10" borderId="11" xfId="0" applyFont="1" applyFill="1" applyBorder="1" applyAlignment="1">
      <alignment horizontal="center" vertical="center" textRotation="90" wrapText="1"/>
    </xf>
    <xf numFmtId="0" fontId="7" fillId="10" borderId="13" xfId="0" applyFont="1" applyFill="1" applyBorder="1" applyAlignment="1">
      <alignment horizontal="center" vertical="center" wrapText="1"/>
    </xf>
    <xf numFmtId="0" fontId="7" fillId="10" borderId="11" xfId="0" applyFont="1" applyFill="1" applyBorder="1" applyAlignment="1">
      <alignment horizontal="center" vertical="center" textRotation="180" wrapText="1"/>
    </xf>
    <xf numFmtId="0" fontId="7" fillId="10" borderId="12" xfId="0" applyFont="1" applyFill="1" applyBorder="1" applyAlignment="1">
      <alignment horizontal="center" vertical="center" textRotation="180" wrapText="1"/>
    </xf>
    <xf numFmtId="0" fontId="7" fillId="10" borderId="10" xfId="0" applyFont="1" applyFill="1" applyBorder="1" applyAlignment="1">
      <alignment horizontal="center" vertical="center" textRotation="90" wrapText="1"/>
    </xf>
    <xf numFmtId="0" fontId="7" fillId="10" borderId="11" xfId="0" applyFont="1" applyFill="1" applyBorder="1" applyAlignment="1">
      <alignment horizontal="center" vertical="center" textRotation="90" wrapText="1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4" fillId="0" borderId="3" xfId="0" applyFont="1" applyFill="1" applyBorder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 textRotation="180" wrapText="1"/>
    </xf>
    <xf numFmtId="0" fontId="0" fillId="0" borderId="12" xfId="0" applyBorder="1" applyAlignment="1">
      <alignment horizontal="center" vertical="center" textRotation="180" wrapText="1"/>
    </xf>
    <xf numFmtId="166" fontId="4" fillId="0" borderId="3" xfId="1" applyNumberFormat="1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166" fontId="6" fillId="12" borderId="3" xfId="1" applyNumberFormat="1" applyFont="1" applyFill="1" applyBorder="1" applyAlignment="1">
      <alignment horizontal="center" vertical="center"/>
    </xf>
    <xf numFmtId="0" fontId="0" fillId="10" borderId="10" xfId="0" applyFont="1" applyFill="1" applyBorder="1" applyAlignment="1">
      <alignment horizontal="center" vertical="center" textRotation="90" wrapText="1"/>
    </xf>
    <xf numFmtId="0" fontId="0" fillId="10" borderId="11" xfId="0" applyFont="1" applyFill="1" applyBorder="1" applyAlignment="1">
      <alignment horizontal="center" vertical="center" textRotation="90" wrapText="1"/>
    </xf>
    <xf numFmtId="0" fontId="6" fillId="12" borderId="2" xfId="0" applyFont="1" applyFill="1" applyBorder="1" applyAlignment="1">
      <alignment horizontal="center" vertical="center"/>
    </xf>
    <xf numFmtId="0" fontId="22" fillId="11" borderId="0" xfId="0" applyFont="1" applyFill="1"/>
  </cellXfs>
  <cellStyles count="2">
    <cellStyle name="Normale" xfId="0" builtinId="0"/>
    <cellStyle name="Valuta" xfId="1" builtinId="4"/>
  </cellStyles>
  <dxfs count="0"/>
  <tableStyles count="0" defaultTableStyle="TableStyleMedium9" defaultPivotStyle="PivotStyleLight16"/>
  <colors>
    <mruColors>
      <color rgb="FFD60093"/>
      <color rgb="FFFFFFCC"/>
      <color rgb="FF7F7F7F"/>
      <color rgb="FF4F81BD"/>
      <color rgb="FF3333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617537</xdr:colOff>
      <xdr:row>13</xdr:row>
      <xdr:rowOff>234950</xdr:rowOff>
    </xdr:from>
    <xdr:to>
      <xdr:col>22</xdr:col>
      <xdr:colOff>229128</xdr:colOff>
      <xdr:row>13</xdr:row>
      <xdr:rowOff>1060450</xdr:rowOff>
    </xdr:to>
    <xdr:sp macro="[0]!RollButton" textlink="">
      <xdr:nvSpPr>
        <xdr:cNvPr id="9" name="Rounded Rectangle 8"/>
        <xdr:cNvSpPr/>
      </xdr:nvSpPr>
      <xdr:spPr>
        <a:xfrm>
          <a:off x="15357475" y="11855450"/>
          <a:ext cx="2278591" cy="825500"/>
        </a:xfrm>
        <a:prstGeom prst="roundRect">
          <a:avLst/>
        </a:prstGeom>
        <a:ln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400" b="1"/>
            <a:t>ROLL</a:t>
          </a:r>
        </a:p>
      </xdr:txBody>
    </xdr:sp>
    <xdr:clientData/>
  </xdr:twoCellAnchor>
  <xdr:twoCellAnchor>
    <xdr:from>
      <xdr:col>19</xdr:col>
      <xdr:colOff>591503</xdr:colOff>
      <xdr:row>1</xdr:row>
      <xdr:rowOff>36513</xdr:rowOff>
    </xdr:from>
    <xdr:to>
      <xdr:col>22</xdr:col>
      <xdr:colOff>41170</xdr:colOff>
      <xdr:row>2</xdr:row>
      <xdr:rowOff>671513</xdr:rowOff>
    </xdr:to>
    <xdr:sp macro="[0]!StartGame" textlink="">
      <xdr:nvSpPr>
        <xdr:cNvPr id="2566" name="Rounded Rectangle 2565"/>
        <xdr:cNvSpPr/>
      </xdr:nvSpPr>
      <xdr:spPr>
        <a:xfrm>
          <a:off x="15331441" y="227013"/>
          <a:ext cx="2116667" cy="825500"/>
        </a:xfrm>
        <a:prstGeom prst="roundRect">
          <a:avLst/>
        </a:prstGeom>
        <a:ln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400" b="1"/>
            <a:t>(RE) START</a:t>
          </a:r>
        </a:p>
      </xdr:txBody>
    </xdr:sp>
    <xdr:clientData/>
  </xdr:twoCellAnchor>
  <xdr:twoCellAnchor>
    <xdr:from>
      <xdr:col>22</xdr:col>
      <xdr:colOff>615245</xdr:colOff>
      <xdr:row>13</xdr:row>
      <xdr:rowOff>292102</xdr:rowOff>
    </xdr:from>
    <xdr:to>
      <xdr:col>24</xdr:col>
      <xdr:colOff>826912</xdr:colOff>
      <xdr:row>13</xdr:row>
      <xdr:rowOff>1117602</xdr:rowOff>
    </xdr:to>
    <xdr:sp macro="[0]!BuildButton" textlink="">
      <xdr:nvSpPr>
        <xdr:cNvPr id="3457" name="Rounded Rectangle 3456"/>
        <xdr:cNvSpPr/>
      </xdr:nvSpPr>
      <xdr:spPr>
        <a:xfrm>
          <a:off x="17971912" y="12018435"/>
          <a:ext cx="2286000" cy="825500"/>
        </a:xfrm>
        <a:prstGeom prst="roundRect">
          <a:avLst/>
        </a:prstGeom>
        <a:ln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400" b="1"/>
            <a:t>BUILD</a:t>
          </a:r>
        </a:p>
      </xdr:txBody>
    </xdr:sp>
    <xdr:clientData/>
  </xdr:twoCellAnchor>
  <xdr:twoCellAnchor>
    <xdr:from>
      <xdr:col>27</xdr:col>
      <xdr:colOff>808569</xdr:colOff>
      <xdr:row>13</xdr:row>
      <xdr:rowOff>292102</xdr:rowOff>
    </xdr:from>
    <xdr:to>
      <xdr:col>29</xdr:col>
      <xdr:colOff>1020236</xdr:colOff>
      <xdr:row>13</xdr:row>
      <xdr:rowOff>1117602</xdr:rowOff>
    </xdr:to>
    <xdr:sp macro="[0]!UnMortgageButton" textlink="">
      <xdr:nvSpPr>
        <xdr:cNvPr id="1437" name="Rounded Rectangle 1436"/>
        <xdr:cNvSpPr/>
      </xdr:nvSpPr>
      <xdr:spPr>
        <a:xfrm>
          <a:off x="23351069" y="12018435"/>
          <a:ext cx="2286000" cy="825500"/>
        </a:xfrm>
        <a:prstGeom prst="roundRect">
          <a:avLst/>
        </a:prstGeom>
        <a:ln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400" b="1"/>
            <a:t>UN-MORTGAGE</a:t>
          </a:r>
        </a:p>
      </xdr:txBody>
    </xdr:sp>
    <xdr:clientData/>
  </xdr:twoCellAnchor>
  <xdr:twoCellAnchor>
    <xdr:from>
      <xdr:col>25</xdr:col>
      <xdr:colOff>193323</xdr:colOff>
      <xdr:row>13</xdr:row>
      <xdr:rowOff>292102</xdr:rowOff>
    </xdr:from>
    <xdr:to>
      <xdr:col>27</xdr:col>
      <xdr:colOff>404990</xdr:colOff>
      <xdr:row>13</xdr:row>
      <xdr:rowOff>1117602</xdr:rowOff>
    </xdr:to>
    <xdr:sp macro="[0]!TinyTradeButton" textlink="">
      <xdr:nvSpPr>
        <xdr:cNvPr id="21" name="Rounded Rectangle 20"/>
        <xdr:cNvSpPr/>
      </xdr:nvSpPr>
      <xdr:spPr>
        <a:xfrm>
          <a:off x="20661490" y="12018435"/>
          <a:ext cx="2286000" cy="825500"/>
        </a:xfrm>
        <a:prstGeom prst="roundRect">
          <a:avLst/>
        </a:prstGeom>
        <a:ln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400" b="1"/>
            <a:t>TRADE</a:t>
          </a:r>
        </a:p>
      </xdr:txBody>
    </xdr:sp>
    <xdr:clientData/>
  </xdr:twoCellAnchor>
  <xdr:twoCellAnchor>
    <xdr:from>
      <xdr:col>22</xdr:col>
      <xdr:colOff>402167</xdr:colOff>
      <xdr:row>1</xdr:row>
      <xdr:rowOff>25402</xdr:rowOff>
    </xdr:from>
    <xdr:to>
      <xdr:col>25</xdr:col>
      <xdr:colOff>338667</xdr:colOff>
      <xdr:row>2</xdr:row>
      <xdr:rowOff>660402</xdr:rowOff>
    </xdr:to>
    <xdr:sp macro="[0]!FreeParkingButton" textlink="">
      <xdr:nvSpPr>
        <xdr:cNvPr id="874" name="Rounded Rectangle 873"/>
        <xdr:cNvSpPr/>
      </xdr:nvSpPr>
      <xdr:spPr>
        <a:xfrm>
          <a:off x="17758834" y="215902"/>
          <a:ext cx="3048000" cy="825500"/>
        </a:xfrm>
        <a:prstGeom prst="roundRect">
          <a:avLst/>
        </a:prstGeom>
        <a:ln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400" b="1"/>
            <a:t>FREE PARKING: ON</a:t>
          </a:r>
        </a:p>
      </xdr:txBody>
    </xdr:sp>
    <xdr:clientData/>
  </xdr:twoCellAnchor>
  <xdr:twoCellAnchor>
    <xdr:from>
      <xdr:col>25</xdr:col>
      <xdr:colOff>656166</xdr:colOff>
      <xdr:row>1</xdr:row>
      <xdr:rowOff>25402</xdr:rowOff>
    </xdr:from>
    <xdr:to>
      <xdr:col>28</xdr:col>
      <xdr:colOff>592666</xdr:colOff>
      <xdr:row>2</xdr:row>
      <xdr:rowOff>660402</xdr:rowOff>
    </xdr:to>
    <xdr:sp macro="[0]!DisplayMessagesButton" textlink="">
      <xdr:nvSpPr>
        <xdr:cNvPr id="23" name="Rounded Rectangle 22"/>
        <xdr:cNvSpPr/>
      </xdr:nvSpPr>
      <xdr:spPr>
        <a:xfrm>
          <a:off x="21124333" y="215902"/>
          <a:ext cx="3048000" cy="825500"/>
        </a:xfrm>
        <a:prstGeom prst="roundRect">
          <a:avLst/>
        </a:prstGeom>
        <a:ln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400" b="1"/>
            <a:t>MESSAGES: PERSON</a:t>
          </a:r>
        </a:p>
      </xdr:txBody>
    </xdr:sp>
    <xdr:clientData/>
  </xdr:twoCellAnchor>
  <xdr:twoCellAnchor editAs="oneCell">
    <xdr:from>
      <xdr:col>2</xdr:col>
      <xdr:colOff>469900</xdr:colOff>
      <xdr:row>10</xdr:row>
      <xdr:rowOff>138112</xdr:rowOff>
    </xdr:from>
    <xdr:to>
      <xdr:col>3</xdr:col>
      <xdr:colOff>165100</xdr:colOff>
      <xdr:row>10</xdr:row>
      <xdr:rowOff>585787</xdr:rowOff>
    </xdr:to>
    <xdr:pic>
      <xdr:nvPicPr>
        <xdr:cNvPr id="98" name="Picture 61" descr="C:\Users\Andrew Werner\Desktop\Temp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 l="5178" t="144" r="71727" b="65213"/>
        <a:stretch/>
      </xdr:blipFill>
      <xdr:spPr bwMode="auto">
        <a:xfrm>
          <a:off x="850900" y="8115300"/>
          <a:ext cx="457200" cy="447675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1206500</xdr:colOff>
      <xdr:row>2</xdr:row>
      <xdr:rowOff>0</xdr:rowOff>
    </xdr:from>
    <xdr:to>
      <xdr:col>15</xdr:col>
      <xdr:colOff>68262</xdr:colOff>
      <xdr:row>2</xdr:row>
      <xdr:rowOff>340083</xdr:rowOff>
    </xdr:to>
    <xdr:pic>
      <xdr:nvPicPr>
        <xdr:cNvPr id="99" name="Picture 74" descr="C:\Users\Andrew Werner\Desktop\Temp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 l="31429" t="21605" r="49524" b="57143"/>
        <a:stretch/>
      </xdr:blipFill>
      <xdr:spPr bwMode="auto">
        <a:xfrm>
          <a:off x="12827000" y="381000"/>
          <a:ext cx="457200" cy="340083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398462</xdr:colOff>
      <xdr:row>5</xdr:row>
      <xdr:rowOff>673100</xdr:rowOff>
    </xdr:from>
    <xdr:to>
      <xdr:col>17</xdr:col>
      <xdr:colOff>83152</xdr:colOff>
      <xdr:row>5</xdr:row>
      <xdr:rowOff>1130300</xdr:rowOff>
    </xdr:to>
    <xdr:pic>
      <xdr:nvPicPr>
        <xdr:cNvPr id="100" name="Picture 73" descr="C:\Users\Andrew Werner\Desktop\Temp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 l="74524" t="34464" r="5238" b="34464"/>
        <a:stretch/>
      </xdr:blipFill>
      <xdr:spPr bwMode="auto">
        <a:xfrm>
          <a:off x="13995400" y="2578100"/>
          <a:ext cx="446690" cy="4572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571500</xdr:colOff>
      <xdr:row>2</xdr:row>
      <xdr:rowOff>0</xdr:rowOff>
    </xdr:from>
    <xdr:to>
      <xdr:col>13</xdr:col>
      <xdr:colOff>1028700</xdr:colOff>
      <xdr:row>2</xdr:row>
      <xdr:rowOff>383019</xdr:rowOff>
    </xdr:to>
    <xdr:pic>
      <xdr:nvPicPr>
        <xdr:cNvPr id="101" name="Picture 64" descr="C:\Users\Andrew Werner\Desktop\Temp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 l="15551" t="66429" r="61429" b="4643"/>
        <a:stretch/>
      </xdr:blipFill>
      <xdr:spPr bwMode="auto">
        <a:xfrm>
          <a:off x="12192000" y="381000"/>
          <a:ext cx="457200" cy="383019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1193800</xdr:colOff>
      <xdr:row>10</xdr:row>
      <xdr:rowOff>544512</xdr:rowOff>
    </xdr:from>
    <xdr:to>
      <xdr:col>6</xdr:col>
      <xdr:colOff>1150937</xdr:colOff>
      <xdr:row>11</xdr:row>
      <xdr:rowOff>501650</xdr:rowOff>
    </xdr:to>
    <xdr:grpSp>
      <xdr:nvGrpSpPr>
        <xdr:cNvPr id="1165" name="2Die"/>
        <xdr:cNvGrpSpPr/>
      </xdr:nvGrpSpPr>
      <xdr:grpSpPr>
        <a:xfrm>
          <a:off x="3098800" y="8521700"/>
          <a:ext cx="1171575" cy="1171575"/>
          <a:chOff x="9191624" y="4467224"/>
          <a:chExt cx="1171575" cy="1171575"/>
        </a:xfrm>
      </xdr:grpSpPr>
      <xdr:sp macro="" textlink="">
        <xdr:nvSpPr>
          <xdr:cNvPr id="1166" name="Rectangle 36"/>
          <xdr:cNvSpPr/>
        </xdr:nvSpPr>
        <xdr:spPr>
          <a:xfrm>
            <a:off x="9191624" y="4467224"/>
            <a:ext cx="1171575" cy="1171575"/>
          </a:xfrm>
          <a:prstGeom prst="rect">
            <a:avLst/>
          </a:prstGeom>
          <a:solidFill>
            <a:schemeClr val="bg1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167" name="Oval 37"/>
          <xdr:cNvSpPr/>
        </xdr:nvSpPr>
        <xdr:spPr>
          <a:xfrm>
            <a:off x="9873853" y="5103019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168" name="Oval 40"/>
          <xdr:cNvSpPr/>
        </xdr:nvSpPr>
        <xdr:spPr>
          <a:xfrm>
            <a:off x="9455944" y="473392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8</xdr:col>
      <xdr:colOff>979487</xdr:colOff>
      <xdr:row>11</xdr:row>
      <xdr:rowOff>688975</xdr:rowOff>
    </xdr:from>
    <xdr:to>
      <xdr:col>9</xdr:col>
      <xdr:colOff>936625</xdr:colOff>
      <xdr:row>12</xdr:row>
      <xdr:rowOff>646112</xdr:rowOff>
    </xdr:to>
    <xdr:grpSp>
      <xdr:nvGrpSpPr>
        <xdr:cNvPr id="1169" name="1Die"/>
        <xdr:cNvGrpSpPr/>
      </xdr:nvGrpSpPr>
      <xdr:grpSpPr>
        <a:xfrm>
          <a:off x="6527800" y="9880600"/>
          <a:ext cx="1171575" cy="1171575"/>
          <a:chOff x="9191624" y="4467224"/>
          <a:chExt cx="1171575" cy="1171575"/>
        </a:xfrm>
      </xdr:grpSpPr>
      <xdr:sp macro="" textlink="">
        <xdr:nvSpPr>
          <xdr:cNvPr id="1170" name="Rectangle 44"/>
          <xdr:cNvSpPr/>
        </xdr:nvSpPr>
        <xdr:spPr>
          <a:xfrm>
            <a:off x="9191624" y="4467224"/>
            <a:ext cx="1171575" cy="1171575"/>
          </a:xfrm>
          <a:prstGeom prst="rect">
            <a:avLst/>
          </a:prstGeom>
          <a:solidFill>
            <a:schemeClr val="bg1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171" name="Oval 48"/>
          <xdr:cNvSpPr/>
        </xdr:nvSpPr>
        <xdr:spPr>
          <a:xfrm>
            <a:off x="9640491" y="4912519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47624</xdr:colOff>
      <xdr:row>18</xdr:row>
      <xdr:rowOff>9524</xdr:rowOff>
    </xdr:from>
    <xdr:to>
      <xdr:col>13</xdr:col>
      <xdr:colOff>1219199</xdr:colOff>
      <xdr:row>18</xdr:row>
      <xdr:rowOff>1181099</xdr:rowOff>
    </xdr:to>
    <xdr:grpSp>
      <xdr:nvGrpSpPr>
        <xdr:cNvPr id="73" name="6Die"/>
        <xdr:cNvGrpSpPr/>
      </xdr:nvGrpSpPr>
      <xdr:grpSpPr>
        <a:xfrm>
          <a:off x="9146800" y="5702112"/>
          <a:ext cx="1171575" cy="1171575"/>
          <a:chOff x="9191624" y="4467224"/>
          <a:chExt cx="1171575" cy="1171575"/>
        </a:xfrm>
      </xdr:grpSpPr>
      <xdr:sp macro="" textlink="">
        <xdr:nvSpPr>
          <xdr:cNvPr id="57" name="Rectangle 56"/>
          <xdr:cNvSpPr/>
        </xdr:nvSpPr>
        <xdr:spPr>
          <a:xfrm>
            <a:off x="9191624" y="4467224"/>
            <a:ext cx="1171575" cy="1171575"/>
          </a:xfrm>
          <a:prstGeom prst="rect">
            <a:avLst/>
          </a:prstGeom>
          <a:solidFill>
            <a:schemeClr val="bg1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61" name="Oval 60"/>
          <xdr:cNvSpPr/>
        </xdr:nvSpPr>
        <xdr:spPr>
          <a:xfrm>
            <a:off x="9915525" y="4591050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63" name="Oval 62"/>
          <xdr:cNvSpPr/>
        </xdr:nvSpPr>
        <xdr:spPr>
          <a:xfrm>
            <a:off x="9915525" y="526732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69" name="Oval 68"/>
          <xdr:cNvSpPr/>
        </xdr:nvSpPr>
        <xdr:spPr>
          <a:xfrm>
            <a:off x="9915525" y="4929188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70" name="Oval 69"/>
          <xdr:cNvSpPr/>
        </xdr:nvSpPr>
        <xdr:spPr>
          <a:xfrm>
            <a:off x="9420225" y="4591050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71" name="Oval 70"/>
          <xdr:cNvSpPr/>
        </xdr:nvSpPr>
        <xdr:spPr>
          <a:xfrm>
            <a:off x="9420225" y="526732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72" name="Oval 71"/>
          <xdr:cNvSpPr/>
        </xdr:nvSpPr>
        <xdr:spPr>
          <a:xfrm>
            <a:off x="9420225" y="4929188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12</xdr:col>
      <xdr:colOff>28574</xdr:colOff>
      <xdr:row>18</xdr:row>
      <xdr:rowOff>9524</xdr:rowOff>
    </xdr:from>
    <xdr:to>
      <xdr:col>12</xdr:col>
      <xdr:colOff>1200149</xdr:colOff>
      <xdr:row>18</xdr:row>
      <xdr:rowOff>1181099</xdr:rowOff>
    </xdr:to>
    <xdr:grpSp>
      <xdr:nvGrpSpPr>
        <xdr:cNvPr id="12" name="5Die"/>
        <xdr:cNvGrpSpPr/>
      </xdr:nvGrpSpPr>
      <xdr:grpSpPr>
        <a:xfrm>
          <a:off x="7906309" y="5702112"/>
          <a:ext cx="1171575" cy="1171575"/>
          <a:chOff x="9191624" y="4467224"/>
          <a:chExt cx="1171575" cy="1171575"/>
        </a:xfrm>
      </xdr:grpSpPr>
      <xdr:sp macro="" textlink="">
        <xdr:nvSpPr>
          <xdr:cNvPr id="13" name="Rectangle 12"/>
          <xdr:cNvSpPr/>
        </xdr:nvSpPr>
        <xdr:spPr>
          <a:xfrm>
            <a:off x="9191624" y="4467224"/>
            <a:ext cx="1171575" cy="1171575"/>
          </a:xfrm>
          <a:prstGeom prst="rect">
            <a:avLst/>
          </a:prstGeom>
          <a:solidFill>
            <a:schemeClr val="bg1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4" name="Oval 13"/>
          <xdr:cNvSpPr/>
        </xdr:nvSpPr>
        <xdr:spPr>
          <a:xfrm>
            <a:off x="9963150" y="4591050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5" name="Oval 14"/>
          <xdr:cNvSpPr/>
        </xdr:nvSpPr>
        <xdr:spPr>
          <a:xfrm>
            <a:off x="9963150" y="526732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6" name="Oval 15"/>
          <xdr:cNvSpPr/>
        </xdr:nvSpPr>
        <xdr:spPr>
          <a:xfrm>
            <a:off x="9665494" y="492323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7" name="Oval 16"/>
          <xdr:cNvSpPr/>
        </xdr:nvSpPr>
        <xdr:spPr>
          <a:xfrm>
            <a:off x="9342834" y="4591050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9" name="Oval 18"/>
          <xdr:cNvSpPr/>
        </xdr:nvSpPr>
        <xdr:spPr>
          <a:xfrm>
            <a:off x="9330928" y="5244704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11</xdr:col>
      <xdr:colOff>28574</xdr:colOff>
      <xdr:row>18</xdr:row>
      <xdr:rowOff>19049</xdr:rowOff>
    </xdr:from>
    <xdr:to>
      <xdr:col>11</xdr:col>
      <xdr:colOff>1200149</xdr:colOff>
      <xdr:row>18</xdr:row>
      <xdr:rowOff>1190624</xdr:rowOff>
    </xdr:to>
    <xdr:grpSp>
      <xdr:nvGrpSpPr>
        <xdr:cNvPr id="20" name="4Die"/>
        <xdr:cNvGrpSpPr/>
      </xdr:nvGrpSpPr>
      <xdr:grpSpPr>
        <a:xfrm>
          <a:off x="6684868" y="5711637"/>
          <a:ext cx="1171575" cy="1171575"/>
          <a:chOff x="9191624" y="4467224"/>
          <a:chExt cx="1171575" cy="1171575"/>
        </a:xfrm>
      </xdr:grpSpPr>
      <xdr:sp macro="" textlink="">
        <xdr:nvSpPr>
          <xdr:cNvPr id="21" name="Rectangle 20"/>
          <xdr:cNvSpPr/>
        </xdr:nvSpPr>
        <xdr:spPr>
          <a:xfrm>
            <a:off x="9191624" y="4467224"/>
            <a:ext cx="1171575" cy="1171575"/>
          </a:xfrm>
          <a:prstGeom prst="rect">
            <a:avLst/>
          </a:prstGeom>
          <a:solidFill>
            <a:schemeClr val="bg1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2" name="Oval 21"/>
          <xdr:cNvSpPr/>
        </xdr:nvSpPr>
        <xdr:spPr>
          <a:xfrm>
            <a:off x="9915525" y="4591050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4" name="Oval 23"/>
          <xdr:cNvSpPr/>
        </xdr:nvSpPr>
        <xdr:spPr>
          <a:xfrm>
            <a:off x="9915525" y="520898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5" name="Oval 24"/>
          <xdr:cNvSpPr/>
        </xdr:nvSpPr>
        <xdr:spPr>
          <a:xfrm>
            <a:off x="9420225" y="4591050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27" name="Oval 26"/>
          <xdr:cNvSpPr/>
        </xdr:nvSpPr>
        <xdr:spPr>
          <a:xfrm>
            <a:off x="9414272" y="520898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13</xdr:col>
      <xdr:colOff>38099</xdr:colOff>
      <xdr:row>17</xdr:row>
      <xdr:rowOff>19049</xdr:rowOff>
    </xdr:from>
    <xdr:to>
      <xdr:col>13</xdr:col>
      <xdr:colOff>1209674</xdr:colOff>
      <xdr:row>17</xdr:row>
      <xdr:rowOff>1190624</xdr:rowOff>
    </xdr:to>
    <xdr:grpSp>
      <xdr:nvGrpSpPr>
        <xdr:cNvPr id="28" name="3Die"/>
        <xdr:cNvGrpSpPr/>
      </xdr:nvGrpSpPr>
      <xdr:grpSpPr>
        <a:xfrm>
          <a:off x="9137275" y="4490196"/>
          <a:ext cx="1171575" cy="1171575"/>
          <a:chOff x="9191624" y="4467224"/>
          <a:chExt cx="1171575" cy="1171575"/>
        </a:xfrm>
      </xdr:grpSpPr>
      <xdr:sp macro="" textlink="">
        <xdr:nvSpPr>
          <xdr:cNvPr id="29" name="Rectangle 28"/>
          <xdr:cNvSpPr/>
        </xdr:nvSpPr>
        <xdr:spPr>
          <a:xfrm>
            <a:off x="9191624" y="4467224"/>
            <a:ext cx="1171575" cy="1171575"/>
          </a:xfrm>
          <a:prstGeom prst="rect">
            <a:avLst/>
          </a:prstGeom>
          <a:solidFill>
            <a:schemeClr val="bg1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30" name="Oval 29"/>
          <xdr:cNvSpPr/>
        </xdr:nvSpPr>
        <xdr:spPr>
          <a:xfrm>
            <a:off x="9653588" y="492442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32" name="Oval 31"/>
          <xdr:cNvSpPr/>
        </xdr:nvSpPr>
        <xdr:spPr>
          <a:xfrm>
            <a:off x="10016728" y="5262563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33" name="Oval 32"/>
          <xdr:cNvSpPr/>
        </xdr:nvSpPr>
        <xdr:spPr>
          <a:xfrm>
            <a:off x="9324975" y="4573191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12</xdr:col>
      <xdr:colOff>32146</xdr:colOff>
      <xdr:row>17</xdr:row>
      <xdr:rowOff>15478</xdr:rowOff>
    </xdr:from>
    <xdr:to>
      <xdr:col>12</xdr:col>
      <xdr:colOff>1203721</xdr:colOff>
      <xdr:row>17</xdr:row>
      <xdr:rowOff>1187053</xdr:rowOff>
    </xdr:to>
    <xdr:grpSp>
      <xdr:nvGrpSpPr>
        <xdr:cNvPr id="36" name="2Die"/>
        <xdr:cNvGrpSpPr/>
      </xdr:nvGrpSpPr>
      <xdr:grpSpPr>
        <a:xfrm>
          <a:off x="7909881" y="4486625"/>
          <a:ext cx="1171575" cy="1171575"/>
          <a:chOff x="9191624" y="4467224"/>
          <a:chExt cx="1171575" cy="1171575"/>
        </a:xfrm>
      </xdr:grpSpPr>
      <xdr:sp macro="" textlink="">
        <xdr:nvSpPr>
          <xdr:cNvPr id="37" name="Rectangle 36"/>
          <xdr:cNvSpPr/>
        </xdr:nvSpPr>
        <xdr:spPr>
          <a:xfrm>
            <a:off x="9191624" y="4467224"/>
            <a:ext cx="1171575" cy="1171575"/>
          </a:xfrm>
          <a:prstGeom prst="rect">
            <a:avLst/>
          </a:prstGeom>
          <a:solidFill>
            <a:schemeClr val="bg1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38" name="Oval 37"/>
          <xdr:cNvSpPr/>
        </xdr:nvSpPr>
        <xdr:spPr>
          <a:xfrm>
            <a:off x="9873853" y="5103019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41" name="Oval 40"/>
          <xdr:cNvSpPr/>
        </xdr:nvSpPr>
        <xdr:spPr>
          <a:xfrm>
            <a:off x="9455944" y="4733925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11</xdr:col>
      <xdr:colOff>19049</xdr:colOff>
      <xdr:row>17</xdr:row>
      <xdr:rowOff>9524</xdr:rowOff>
    </xdr:from>
    <xdr:to>
      <xdr:col>11</xdr:col>
      <xdr:colOff>1190624</xdr:colOff>
      <xdr:row>17</xdr:row>
      <xdr:rowOff>1181099</xdr:rowOff>
    </xdr:to>
    <xdr:grpSp>
      <xdr:nvGrpSpPr>
        <xdr:cNvPr id="44" name="1Die"/>
        <xdr:cNvGrpSpPr/>
      </xdr:nvGrpSpPr>
      <xdr:grpSpPr>
        <a:xfrm>
          <a:off x="6675343" y="4480671"/>
          <a:ext cx="1171575" cy="1171575"/>
          <a:chOff x="9191624" y="4467224"/>
          <a:chExt cx="1171575" cy="1171575"/>
        </a:xfrm>
      </xdr:grpSpPr>
      <xdr:sp macro="" textlink="">
        <xdr:nvSpPr>
          <xdr:cNvPr id="45" name="Rectangle 44"/>
          <xdr:cNvSpPr/>
        </xdr:nvSpPr>
        <xdr:spPr>
          <a:xfrm>
            <a:off x="9191624" y="4467224"/>
            <a:ext cx="1171575" cy="1171575"/>
          </a:xfrm>
          <a:prstGeom prst="rect">
            <a:avLst/>
          </a:prstGeom>
          <a:solidFill>
            <a:schemeClr val="bg1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49" name="Oval 48"/>
          <xdr:cNvSpPr/>
        </xdr:nvSpPr>
        <xdr:spPr>
          <a:xfrm>
            <a:off x="9640491" y="4912519"/>
            <a:ext cx="257175" cy="257175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11</xdr:col>
      <xdr:colOff>676275</xdr:colOff>
      <xdr:row>2</xdr:row>
      <xdr:rowOff>140759</xdr:rowOff>
    </xdr:from>
    <xdr:to>
      <xdr:col>11</xdr:col>
      <xdr:colOff>1139503</xdr:colOff>
      <xdr:row>4</xdr:row>
      <xdr:rowOff>92075</xdr:rowOff>
    </xdr:to>
    <xdr:grpSp>
      <xdr:nvGrpSpPr>
        <xdr:cNvPr id="40" name="Iron"/>
        <xdr:cNvGrpSpPr/>
      </xdr:nvGrpSpPr>
      <xdr:grpSpPr>
        <a:xfrm>
          <a:off x="7332569" y="521759"/>
          <a:ext cx="463228" cy="332316"/>
          <a:chOff x="7134225" y="3600450"/>
          <a:chExt cx="876300" cy="628650"/>
        </a:xfrm>
      </xdr:grpSpPr>
      <xdr:sp macro="" textlink="">
        <xdr:nvSpPr>
          <xdr:cNvPr id="42" name="Freeform 41"/>
          <xdr:cNvSpPr/>
        </xdr:nvSpPr>
        <xdr:spPr>
          <a:xfrm>
            <a:off x="7134225" y="3905250"/>
            <a:ext cx="866775" cy="323850"/>
          </a:xfrm>
          <a:custGeom>
            <a:avLst/>
            <a:gdLst>
              <a:gd name="connsiteX0" fmla="*/ 38100 w 866775"/>
              <a:gd name="connsiteY0" fmla="*/ 0 h 323850"/>
              <a:gd name="connsiteX1" fmla="*/ 238125 w 866775"/>
              <a:gd name="connsiteY1" fmla="*/ 0 h 323850"/>
              <a:gd name="connsiteX2" fmla="*/ 504825 w 866775"/>
              <a:gd name="connsiteY2" fmla="*/ 0 h 323850"/>
              <a:gd name="connsiteX3" fmla="*/ 628650 w 866775"/>
              <a:gd name="connsiteY3" fmla="*/ 19050 h 323850"/>
              <a:gd name="connsiteX4" fmla="*/ 771525 w 866775"/>
              <a:gd name="connsiteY4" fmla="*/ 57150 h 323850"/>
              <a:gd name="connsiteX5" fmla="*/ 866775 w 866775"/>
              <a:gd name="connsiteY5" fmla="*/ 104775 h 323850"/>
              <a:gd name="connsiteX6" fmla="*/ 866775 w 866775"/>
              <a:gd name="connsiteY6" fmla="*/ 180975 h 323850"/>
              <a:gd name="connsiteX7" fmla="*/ 742950 w 866775"/>
              <a:gd name="connsiteY7" fmla="*/ 247650 h 323850"/>
              <a:gd name="connsiteX8" fmla="*/ 647700 w 866775"/>
              <a:gd name="connsiteY8" fmla="*/ 276225 h 323850"/>
              <a:gd name="connsiteX9" fmla="*/ 542925 w 866775"/>
              <a:gd name="connsiteY9" fmla="*/ 295275 h 323850"/>
              <a:gd name="connsiteX10" fmla="*/ 419100 w 866775"/>
              <a:gd name="connsiteY10" fmla="*/ 304800 h 323850"/>
              <a:gd name="connsiteX11" fmla="*/ 285750 w 866775"/>
              <a:gd name="connsiteY11" fmla="*/ 323850 h 323850"/>
              <a:gd name="connsiteX12" fmla="*/ 142875 w 866775"/>
              <a:gd name="connsiteY12" fmla="*/ 323850 h 323850"/>
              <a:gd name="connsiteX13" fmla="*/ 19050 w 866775"/>
              <a:gd name="connsiteY13" fmla="*/ 323850 h 323850"/>
              <a:gd name="connsiteX14" fmla="*/ 0 w 866775"/>
              <a:gd name="connsiteY14" fmla="*/ 295275 h 323850"/>
              <a:gd name="connsiteX15" fmla="*/ 9525 w 866775"/>
              <a:gd name="connsiteY15" fmla="*/ 200025 h 323850"/>
              <a:gd name="connsiteX16" fmla="*/ 38100 w 866775"/>
              <a:gd name="connsiteY16" fmla="*/ 0 h 3238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</a:cxnLst>
            <a:rect l="l" t="t" r="r" b="b"/>
            <a:pathLst>
              <a:path w="866775" h="323850">
                <a:moveTo>
                  <a:pt x="38100" y="0"/>
                </a:moveTo>
                <a:lnTo>
                  <a:pt x="238125" y="0"/>
                </a:lnTo>
                <a:lnTo>
                  <a:pt x="504825" y="0"/>
                </a:lnTo>
                <a:lnTo>
                  <a:pt x="628650" y="19050"/>
                </a:lnTo>
                <a:lnTo>
                  <a:pt x="771525" y="57150"/>
                </a:lnTo>
                <a:lnTo>
                  <a:pt x="866775" y="104775"/>
                </a:lnTo>
                <a:lnTo>
                  <a:pt x="866775" y="180975"/>
                </a:lnTo>
                <a:lnTo>
                  <a:pt x="742950" y="247650"/>
                </a:lnTo>
                <a:lnTo>
                  <a:pt x="647700" y="276225"/>
                </a:lnTo>
                <a:lnTo>
                  <a:pt x="542925" y="295275"/>
                </a:lnTo>
                <a:lnTo>
                  <a:pt x="419100" y="304800"/>
                </a:lnTo>
                <a:lnTo>
                  <a:pt x="285750" y="323850"/>
                </a:lnTo>
                <a:lnTo>
                  <a:pt x="142875" y="323850"/>
                </a:lnTo>
                <a:lnTo>
                  <a:pt x="19050" y="323850"/>
                </a:lnTo>
                <a:lnTo>
                  <a:pt x="0" y="295275"/>
                </a:lnTo>
                <a:lnTo>
                  <a:pt x="9525" y="200025"/>
                </a:lnTo>
                <a:lnTo>
                  <a:pt x="38100" y="0"/>
                </a:lnTo>
                <a:close/>
              </a:path>
            </a:pathLst>
          </a:cu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43" name="Freeform 42"/>
          <xdr:cNvSpPr/>
        </xdr:nvSpPr>
        <xdr:spPr>
          <a:xfrm>
            <a:off x="7162800" y="3600450"/>
            <a:ext cx="733425" cy="466725"/>
          </a:xfrm>
          <a:custGeom>
            <a:avLst/>
            <a:gdLst>
              <a:gd name="connsiteX0" fmla="*/ 104775 w 733425"/>
              <a:gd name="connsiteY0" fmla="*/ 409575 h 466725"/>
              <a:gd name="connsiteX1" fmla="*/ 142875 w 733425"/>
              <a:gd name="connsiteY1" fmla="*/ 466725 h 466725"/>
              <a:gd name="connsiteX2" fmla="*/ 190500 w 733425"/>
              <a:gd name="connsiteY2" fmla="*/ 457200 h 466725"/>
              <a:gd name="connsiteX3" fmla="*/ 228600 w 733425"/>
              <a:gd name="connsiteY3" fmla="*/ 400050 h 466725"/>
              <a:gd name="connsiteX4" fmla="*/ 180975 w 733425"/>
              <a:gd name="connsiteY4" fmla="*/ 342900 h 466725"/>
              <a:gd name="connsiteX5" fmla="*/ 76200 w 733425"/>
              <a:gd name="connsiteY5" fmla="*/ 133350 h 466725"/>
              <a:gd name="connsiteX6" fmla="*/ 104775 w 733425"/>
              <a:gd name="connsiteY6" fmla="*/ 114300 h 466725"/>
              <a:gd name="connsiteX7" fmla="*/ 190500 w 733425"/>
              <a:gd name="connsiteY7" fmla="*/ 123825 h 466725"/>
              <a:gd name="connsiteX8" fmla="*/ 371475 w 733425"/>
              <a:gd name="connsiteY8" fmla="*/ 133350 h 466725"/>
              <a:gd name="connsiteX9" fmla="*/ 466725 w 733425"/>
              <a:gd name="connsiteY9" fmla="*/ 123825 h 466725"/>
              <a:gd name="connsiteX10" fmla="*/ 581025 w 733425"/>
              <a:gd name="connsiteY10" fmla="*/ 114300 h 466725"/>
              <a:gd name="connsiteX11" fmla="*/ 619125 w 733425"/>
              <a:gd name="connsiteY11" fmla="*/ 95250 h 466725"/>
              <a:gd name="connsiteX12" fmla="*/ 638175 w 733425"/>
              <a:gd name="connsiteY12" fmla="*/ 114300 h 466725"/>
              <a:gd name="connsiteX13" fmla="*/ 590550 w 733425"/>
              <a:gd name="connsiteY13" fmla="*/ 276225 h 466725"/>
              <a:gd name="connsiteX14" fmla="*/ 542925 w 733425"/>
              <a:gd name="connsiteY14" fmla="*/ 390525 h 466725"/>
              <a:gd name="connsiteX15" fmla="*/ 542925 w 733425"/>
              <a:gd name="connsiteY15" fmla="*/ 428625 h 466725"/>
              <a:gd name="connsiteX16" fmla="*/ 619125 w 733425"/>
              <a:gd name="connsiteY16" fmla="*/ 457200 h 466725"/>
              <a:gd name="connsiteX17" fmla="*/ 666750 w 733425"/>
              <a:gd name="connsiteY17" fmla="*/ 409575 h 466725"/>
              <a:gd name="connsiteX18" fmla="*/ 657225 w 733425"/>
              <a:gd name="connsiteY18" fmla="*/ 361950 h 466725"/>
              <a:gd name="connsiteX19" fmla="*/ 704850 w 733425"/>
              <a:gd name="connsiteY19" fmla="*/ 171450 h 466725"/>
              <a:gd name="connsiteX20" fmla="*/ 733425 w 733425"/>
              <a:gd name="connsiteY20" fmla="*/ 85725 h 466725"/>
              <a:gd name="connsiteX21" fmla="*/ 714375 w 733425"/>
              <a:gd name="connsiteY21" fmla="*/ 57150 h 466725"/>
              <a:gd name="connsiteX22" fmla="*/ 676275 w 733425"/>
              <a:gd name="connsiteY22" fmla="*/ 28575 h 466725"/>
              <a:gd name="connsiteX23" fmla="*/ 590550 w 733425"/>
              <a:gd name="connsiteY23" fmla="*/ 19050 h 466725"/>
              <a:gd name="connsiteX24" fmla="*/ 581025 w 733425"/>
              <a:gd name="connsiteY24" fmla="*/ 0 h 466725"/>
              <a:gd name="connsiteX25" fmla="*/ 342900 w 733425"/>
              <a:gd name="connsiteY25" fmla="*/ 0 h 466725"/>
              <a:gd name="connsiteX26" fmla="*/ 123825 w 733425"/>
              <a:gd name="connsiteY26" fmla="*/ 9525 h 466725"/>
              <a:gd name="connsiteX27" fmla="*/ 123825 w 733425"/>
              <a:gd name="connsiteY27" fmla="*/ 28575 h 466725"/>
              <a:gd name="connsiteX28" fmla="*/ 38100 w 733425"/>
              <a:gd name="connsiteY28" fmla="*/ 28575 h 466725"/>
              <a:gd name="connsiteX29" fmla="*/ 19050 w 733425"/>
              <a:gd name="connsiteY29" fmla="*/ 57150 h 466725"/>
              <a:gd name="connsiteX30" fmla="*/ 0 w 733425"/>
              <a:gd name="connsiteY30" fmla="*/ 123825 h 466725"/>
              <a:gd name="connsiteX31" fmla="*/ 9525 w 733425"/>
              <a:gd name="connsiteY31" fmla="*/ 171450 h 466725"/>
              <a:gd name="connsiteX32" fmla="*/ 95250 w 733425"/>
              <a:gd name="connsiteY32" fmla="*/ 352425 h 466725"/>
              <a:gd name="connsiteX33" fmla="*/ 104775 w 733425"/>
              <a:gd name="connsiteY33" fmla="*/ 409575 h 4667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</a:cxnLst>
            <a:rect l="l" t="t" r="r" b="b"/>
            <a:pathLst>
              <a:path w="733425" h="466725">
                <a:moveTo>
                  <a:pt x="104775" y="409575"/>
                </a:moveTo>
                <a:lnTo>
                  <a:pt x="142875" y="466725"/>
                </a:lnTo>
                <a:lnTo>
                  <a:pt x="190500" y="457200"/>
                </a:lnTo>
                <a:lnTo>
                  <a:pt x="228600" y="400050"/>
                </a:lnTo>
                <a:lnTo>
                  <a:pt x="180975" y="342900"/>
                </a:lnTo>
                <a:lnTo>
                  <a:pt x="76200" y="133350"/>
                </a:lnTo>
                <a:lnTo>
                  <a:pt x="104775" y="114300"/>
                </a:lnTo>
                <a:lnTo>
                  <a:pt x="190500" y="123825"/>
                </a:lnTo>
                <a:lnTo>
                  <a:pt x="371475" y="133350"/>
                </a:lnTo>
                <a:lnTo>
                  <a:pt x="466725" y="123825"/>
                </a:lnTo>
                <a:lnTo>
                  <a:pt x="581025" y="114300"/>
                </a:lnTo>
                <a:lnTo>
                  <a:pt x="619125" y="95250"/>
                </a:lnTo>
                <a:lnTo>
                  <a:pt x="638175" y="114300"/>
                </a:lnTo>
                <a:lnTo>
                  <a:pt x="590550" y="276225"/>
                </a:lnTo>
                <a:lnTo>
                  <a:pt x="542925" y="390525"/>
                </a:lnTo>
                <a:lnTo>
                  <a:pt x="542925" y="428625"/>
                </a:lnTo>
                <a:lnTo>
                  <a:pt x="619125" y="457200"/>
                </a:lnTo>
                <a:lnTo>
                  <a:pt x="666750" y="409575"/>
                </a:lnTo>
                <a:lnTo>
                  <a:pt x="657225" y="361950"/>
                </a:lnTo>
                <a:lnTo>
                  <a:pt x="704850" y="171450"/>
                </a:lnTo>
                <a:lnTo>
                  <a:pt x="733425" y="85725"/>
                </a:lnTo>
                <a:lnTo>
                  <a:pt x="714375" y="57150"/>
                </a:lnTo>
                <a:lnTo>
                  <a:pt x="676275" y="28575"/>
                </a:lnTo>
                <a:lnTo>
                  <a:pt x="590550" y="19050"/>
                </a:lnTo>
                <a:lnTo>
                  <a:pt x="581025" y="0"/>
                </a:lnTo>
                <a:lnTo>
                  <a:pt x="342900" y="0"/>
                </a:lnTo>
                <a:lnTo>
                  <a:pt x="123825" y="9525"/>
                </a:lnTo>
                <a:lnTo>
                  <a:pt x="123825" y="28575"/>
                </a:lnTo>
                <a:lnTo>
                  <a:pt x="38100" y="28575"/>
                </a:lnTo>
                <a:lnTo>
                  <a:pt x="19050" y="57150"/>
                </a:lnTo>
                <a:lnTo>
                  <a:pt x="0" y="123825"/>
                </a:lnTo>
                <a:lnTo>
                  <a:pt x="9525" y="171450"/>
                </a:lnTo>
                <a:lnTo>
                  <a:pt x="95250" y="352425"/>
                </a:lnTo>
                <a:lnTo>
                  <a:pt x="104775" y="409575"/>
                </a:lnTo>
                <a:close/>
              </a:path>
            </a:pathLst>
          </a:cu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46" name="Freeform 45"/>
          <xdr:cNvSpPr/>
        </xdr:nvSpPr>
        <xdr:spPr>
          <a:xfrm>
            <a:off x="7143750" y="4010025"/>
            <a:ext cx="866775" cy="155575"/>
          </a:xfrm>
          <a:custGeom>
            <a:avLst/>
            <a:gdLst>
              <a:gd name="connsiteX0" fmla="*/ 866775 w 866775"/>
              <a:gd name="connsiteY0" fmla="*/ 0 h 155575"/>
              <a:gd name="connsiteX1" fmla="*/ 714375 w 866775"/>
              <a:gd name="connsiteY1" fmla="*/ 85725 h 155575"/>
              <a:gd name="connsiteX2" fmla="*/ 504825 w 866775"/>
              <a:gd name="connsiteY2" fmla="*/ 133350 h 155575"/>
              <a:gd name="connsiteX3" fmla="*/ 238125 w 866775"/>
              <a:gd name="connsiteY3" fmla="*/ 152400 h 155575"/>
              <a:gd name="connsiteX4" fmla="*/ 0 w 866775"/>
              <a:gd name="connsiteY4" fmla="*/ 152400 h 155575"/>
              <a:gd name="connsiteX5" fmla="*/ 0 w 866775"/>
              <a:gd name="connsiteY5" fmla="*/ 152400 h 1555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866775" h="155575">
                <a:moveTo>
                  <a:pt x="866775" y="0"/>
                </a:moveTo>
                <a:cubicBezTo>
                  <a:pt x="820737" y="31750"/>
                  <a:pt x="774700" y="63500"/>
                  <a:pt x="714375" y="85725"/>
                </a:cubicBezTo>
                <a:cubicBezTo>
                  <a:pt x="654050" y="107950"/>
                  <a:pt x="584200" y="122238"/>
                  <a:pt x="504825" y="133350"/>
                </a:cubicBezTo>
                <a:cubicBezTo>
                  <a:pt x="425450" y="144462"/>
                  <a:pt x="322262" y="149225"/>
                  <a:pt x="238125" y="152400"/>
                </a:cubicBezTo>
                <a:cubicBezTo>
                  <a:pt x="153988" y="155575"/>
                  <a:pt x="0" y="152400"/>
                  <a:pt x="0" y="152400"/>
                </a:cubicBezTo>
                <a:lnTo>
                  <a:pt x="0" y="152400"/>
                </a:lnTo>
              </a:path>
            </a:pathLst>
          </a:cu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12</xdr:col>
      <xdr:colOff>394726</xdr:colOff>
      <xdr:row>3</xdr:row>
      <xdr:rowOff>95600</xdr:rowOff>
    </xdr:from>
    <xdr:to>
      <xdr:col>12</xdr:col>
      <xdr:colOff>896606</xdr:colOff>
      <xdr:row>5</xdr:row>
      <xdr:rowOff>91367</xdr:rowOff>
    </xdr:to>
    <xdr:grpSp>
      <xdr:nvGrpSpPr>
        <xdr:cNvPr id="48" name="Dog"/>
        <xdr:cNvGrpSpPr/>
      </xdr:nvGrpSpPr>
      <xdr:grpSpPr>
        <a:xfrm>
          <a:off x="8272461" y="667100"/>
          <a:ext cx="501880" cy="376767"/>
          <a:chOff x="10049114" y="445294"/>
          <a:chExt cx="507999" cy="376767"/>
        </a:xfrm>
      </xdr:grpSpPr>
      <xdr:sp macro="" textlink="">
        <xdr:nvSpPr>
          <xdr:cNvPr id="39" name="Freeform 38"/>
          <xdr:cNvSpPr/>
        </xdr:nvSpPr>
        <xdr:spPr>
          <a:xfrm>
            <a:off x="10049114" y="445294"/>
            <a:ext cx="507999" cy="376767"/>
          </a:xfrm>
          <a:custGeom>
            <a:avLst/>
            <a:gdLst>
              <a:gd name="connsiteX0" fmla="*/ 0 w 1057275"/>
              <a:gd name="connsiteY0" fmla="*/ 752475 h 800100"/>
              <a:gd name="connsiteX1" fmla="*/ 47625 w 1057275"/>
              <a:gd name="connsiteY1" fmla="*/ 771525 h 800100"/>
              <a:gd name="connsiteX2" fmla="*/ 104775 w 1057275"/>
              <a:gd name="connsiteY2" fmla="*/ 781050 h 800100"/>
              <a:gd name="connsiteX3" fmla="*/ 142875 w 1057275"/>
              <a:gd name="connsiteY3" fmla="*/ 752475 h 800100"/>
              <a:gd name="connsiteX4" fmla="*/ 142875 w 1057275"/>
              <a:gd name="connsiteY4" fmla="*/ 704850 h 800100"/>
              <a:gd name="connsiteX5" fmla="*/ 171450 w 1057275"/>
              <a:gd name="connsiteY5" fmla="*/ 619125 h 800100"/>
              <a:gd name="connsiteX6" fmla="*/ 228600 w 1057275"/>
              <a:gd name="connsiteY6" fmla="*/ 571500 h 800100"/>
              <a:gd name="connsiteX7" fmla="*/ 266700 w 1057275"/>
              <a:gd name="connsiteY7" fmla="*/ 571500 h 800100"/>
              <a:gd name="connsiteX8" fmla="*/ 361950 w 1057275"/>
              <a:gd name="connsiteY8" fmla="*/ 609600 h 800100"/>
              <a:gd name="connsiteX9" fmla="*/ 533400 w 1057275"/>
              <a:gd name="connsiteY9" fmla="*/ 600075 h 800100"/>
              <a:gd name="connsiteX10" fmla="*/ 609600 w 1057275"/>
              <a:gd name="connsiteY10" fmla="*/ 609600 h 800100"/>
              <a:gd name="connsiteX11" fmla="*/ 685800 w 1057275"/>
              <a:gd name="connsiteY11" fmla="*/ 657225 h 800100"/>
              <a:gd name="connsiteX12" fmla="*/ 704850 w 1057275"/>
              <a:gd name="connsiteY12" fmla="*/ 685800 h 800100"/>
              <a:gd name="connsiteX13" fmla="*/ 723900 w 1057275"/>
              <a:gd name="connsiteY13" fmla="*/ 752475 h 800100"/>
              <a:gd name="connsiteX14" fmla="*/ 723900 w 1057275"/>
              <a:gd name="connsiteY14" fmla="*/ 790575 h 800100"/>
              <a:gd name="connsiteX15" fmla="*/ 781050 w 1057275"/>
              <a:gd name="connsiteY15" fmla="*/ 800100 h 800100"/>
              <a:gd name="connsiteX16" fmla="*/ 809625 w 1057275"/>
              <a:gd name="connsiteY16" fmla="*/ 781050 h 800100"/>
              <a:gd name="connsiteX17" fmla="*/ 857250 w 1057275"/>
              <a:gd name="connsiteY17" fmla="*/ 762000 h 800100"/>
              <a:gd name="connsiteX18" fmla="*/ 847725 w 1057275"/>
              <a:gd name="connsiteY18" fmla="*/ 714375 h 800100"/>
              <a:gd name="connsiteX19" fmla="*/ 876300 w 1057275"/>
              <a:gd name="connsiteY19" fmla="*/ 695325 h 800100"/>
              <a:gd name="connsiteX20" fmla="*/ 895350 w 1057275"/>
              <a:gd name="connsiteY20" fmla="*/ 666750 h 800100"/>
              <a:gd name="connsiteX21" fmla="*/ 876300 w 1057275"/>
              <a:gd name="connsiteY21" fmla="*/ 647700 h 800100"/>
              <a:gd name="connsiteX22" fmla="*/ 847725 w 1057275"/>
              <a:gd name="connsiteY22" fmla="*/ 561975 h 800100"/>
              <a:gd name="connsiteX23" fmla="*/ 838200 w 1057275"/>
              <a:gd name="connsiteY23" fmla="*/ 504825 h 800100"/>
              <a:gd name="connsiteX24" fmla="*/ 819150 w 1057275"/>
              <a:gd name="connsiteY24" fmla="*/ 438150 h 800100"/>
              <a:gd name="connsiteX25" fmla="*/ 809625 w 1057275"/>
              <a:gd name="connsiteY25" fmla="*/ 409575 h 800100"/>
              <a:gd name="connsiteX26" fmla="*/ 790575 w 1057275"/>
              <a:gd name="connsiteY26" fmla="*/ 381000 h 800100"/>
              <a:gd name="connsiteX27" fmla="*/ 790575 w 1057275"/>
              <a:gd name="connsiteY27" fmla="*/ 381000 h 800100"/>
              <a:gd name="connsiteX28" fmla="*/ 819150 w 1057275"/>
              <a:gd name="connsiteY28" fmla="*/ 314325 h 800100"/>
              <a:gd name="connsiteX29" fmla="*/ 857250 w 1057275"/>
              <a:gd name="connsiteY29" fmla="*/ 314325 h 800100"/>
              <a:gd name="connsiteX30" fmla="*/ 904875 w 1057275"/>
              <a:gd name="connsiteY30" fmla="*/ 323850 h 800100"/>
              <a:gd name="connsiteX31" fmla="*/ 942975 w 1057275"/>
              <a:gd name="connsiteY31" fmla="*/ 381000 h 800100"/>
              <a:gd name="connsiteX32" fmla="*/ 981075 w 1057275"/>
              <a:gd name="connsiteY32" fmla="*/ 361950 h 800100"/>
              <a:gd name="connsiteX33" fmla="*/ 1019175 w 1057275"/>
              <a:gd name="connsiteY33" fmla="*/ 295275 h 800100"/>
              <a:gd name="connsiteX34" fmla="*/ 1057275 w 1057275"/>
              <a:gd name="connsiteY34" fmla="*/ 247650 h 800100"/>
              <a:gd name="connsiteX35" fmla="*/ 1047750 w 1057275"/>
              <a:gd name="connsiteY35" fmla="*/ 219075 h 800100"/>
              <a:gd name="connsiteX36" fmla="*/ 1000125 w 1057275"/>
              <a:gd name="connsiteY36" fmla="*/ 190500 h 800100"/>
              <a:gd name="connsiteX37" fmla="*/ 962025 w 1057275"/>
              <a:gd name="connsiteY37" fmla="*/ 142875 h 800100"/>
              <a:gd name="connsiteX38" fmla="*/ 933450 w 1057275"/>
              <a:gd name="connsiteY38" fmla="*/ 104775 h 800100"/>
              <a:gd name="connsiteX39" fmla="*/ 895350 w 1057275"/>
              <a:gd name="connsiteY39" fmla="*/ 76200 h 800100"/>
              <a:gd name="connsiteX40" fmla="*/ 857250 w 1057275"/>
              <a:gd name="connsiteY40" fmla="*/ 57150 h 800100"/>
              <a:gd name="connsiteX41" fmla="*/ 847725 w 1057275"/>
              <a:gd name="connsiteY41" fmla="*/ 47625 h 800100"/>
              <a:gd name="connsiteX42" fmla="*/ 847725 w 1057275"/>
              <a:gd name="connsiteY42" fmla="*/ 9525 h 800100"/>
              <a:gd name="connsiteX43" fmla="*/ 828675 w 1057275"/>
              <a:gd name="connsiteY43" fmla="*/ 0 h 800100"/>
              <a:gd name="connsiteX44" fmla="*/ 828675 w 1057275"/>
              <a:gd name="connsiteY44" fmla="*/ 0 h 800100"/>
              <a:gd name="connsiteX45" fmla="*/ 733425 w 1057275"/>
              <a:gd name="connsiteY45" fmla="*/ 95250 h 800100"/>
              <a:gd name="connsiteX46" fmla="*/ 704850 w 1057275"/>
              <a:gd name="connsiteY46" fmla="*/ 123825 h 800100"/>
              <a:gd name="connsiteX47" fmla="*/ 657225 w 1057275"/>
              <a:gd name="connsiteY47" fmla="*/ 171450 h 800100"/>
              <a:gd name="connsiteX48" fmla="*/ 628650 w 1057275"/>
              <a:gd name="connsiteY48" fmla="*/ 238125 h 800100"/>
              <a:gd name="connsiteX49" fmla="*/ 600075 w 1057275"/>
              <a:gd name="connsiteY49" fmla="*/ 238125 h 800100"/>
              <a:gd name="connsiteX50" fmla="*/ 571500 w 1057275"/>
              <a:gd name="connsiteY50" fmla="*/ 266700 h 800100"/>
              <a:gd name="connsiteX51" fmla="*/ 514350 w 1057275"/>
              <a:gd name="connsiteY51" fmla="*/ 247650 h 800100"/>
              <a:gd name="connsiteX52" fmla="*/ 361950 w 1057275"/>
              <a:gd name="connsiteY52" fmla="*/ 238125 h 800100"/>
              <a:gd name="connsiteX53" fmla="*/ 276225 w 1057275"/>
              <a:gd name="connsiteY53" fmla="*/ 238125 h 800100"/>
              <a:gd name="connsiteX54" fmla="*/ 161925 w 1057275"/>
              <a:gd name="connsiteY54" fmla="*/ 247650 h 800100"/>
              <a:gd name="connsiteX55" fmla="*/ 142875 w 1057275"/>
              <a:gd name="connsiteY55" fmla="*/ 209550 h 800100"/>
              <a:gd name="connsiteX56" fmla="*/ 152400 w 1057275"/>
              <a:gd name="connsiteY56" fmla="*/ 171450 h 800100"/>
              <a:gd name="connsiteX57" fmla="*/ 133350 w 1057275"/>
              <a:gd name="connsiteY57" fmla="*/ 152400 h 800100"/>
              <a:gd name="connsiteX58" fmla="*/ 95250 w 1057275"/>
              <a:gd name="connsiteY58" fmla="*/ 171450 h 800100"/>
              <a:gd name="connsiteX59" fmla="*/ 76200 w 1057275"/>
              <a:gd name="connsiteY59" fmla="*/ 200025 h 800100"/>
              <a:gd name="connsiteX60" fmla="*/ 85725 w 1057275"/>
              <a:gd name="connsiteY60" fmla="*/ 247650 h 800100"/>
              <a:gd name="connsiteX61" fmla="*/ 85725 w 1057275"/>
              <a:gd name="connsiteY61" fmla="*/ 266700 h 800100"/>
              <a:gd name="connsiteX62" fmla="*/ 47625 w 1057275"/>
              <a:gd name="connsiteY62" fmla="*/ 314325 h 800100"/>
              <a:gd name="connsiteX63" fmla="*/ 19050 w 1057275"/>
              <a:gd name="connsiteY63" fmla="*/ 400050 h 800100"/>
              <a:gd name="connsiteX64" fmla="*/ 28575 w 1057275"/>
              <a:gd name="connsiteY64" fmla="*/ 485775 h 800100"/>
              <a:gd name="connsiteX65" fmla="*/ 38100 w 1057275"/>
              <a:gd name="connsiteY65" fmla="*/ 552450 h 800100"/>
              <a:gd name="connsiteX66" fmla="*/ 9525 w 1057275"/>
              <a:gd name="connsiteY66" fmla="*/ 619125 h 800100"/>
              <a:gd name="connsiteX67" fmla="*/ 0 w 1057275"/>
              <a:gd name="connsiteY67" fmla="*/ 752475 h 8001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</a:cxnLst>
            <a:rect l="l" t="t" r="r" b="b"/>
            <a:pathLst>
              <a:path w="1057275" h="800100">
                <a:moveTo>
                  <a:pt x="0" y="752475"/>
                </a:moveTo>
                <a:lnTo>
                  <a:pt x="47625" y="771525"/>
                </a:lnTo>
                <a:lnTo>
                  <a:pt x="104775" y="781050"/>
                </a:lnTo>
                <a:lnTo>
                  <a:pt x="142875" y="752475"/>
                </a:lnTo>
                <a:lnTo>
                  <a:pt x="142875" y="704850"/>
                </a:lnTo>
                <a:lnTo>
                  <a:pt x="171450" y="619125"/>
                </a:lnTo>
                <a:lnTo>
                  <a:pt x="228600" y="571500"/>
                </a:lnTo>
                <a:lnTo>
                  <a:pt x="266700" y="571500"/>
                </a:lnTo>
                <a:lnTo>
                  <a:pt x="361950" y="609600"/>
                </a:lnTo>
                <a:lnTo>
                  <a:pt x="533400" y="600075"/>
                </a:lnTo>
                <a:lnTo>
                  <a:pt x="609600" y="609600"/>
                </a:lnTo>
                <a:lnTo>
                  <a:pt x="685800" y="657225"/>
                </a:lnTo>
                <a:lnTo>
                  <a:pt x="704850" y="685800"/>
                </a:lnTo>
                <a:lnTo>
                  <a:pt x="723900" y="752475"/>
                </a:lnTo>
                <a:lnTo>
                  <a:pt x="723900" y="790575"/>
                </a:lnTo>
                <a:lnTo>
                  <a:pt x="781050" y="800100"/>
                </a:lnTo>
                <a:lnTo>
                  <a:pt x="809625" y="781050"/>
                </a:lnTo>
                <a:lnTo>
                  <a:pt x="857250" y="762000"/>
                </a:lnTo>
                <a:lnTo>
                  <a:pt x="847725" y="714375"/>
                </a:lnTo>
                <a:lnTo>
                  <a:pt x="876300" y="695325"/>
                </a:lnTo>
                <a:lnTo>
                  <a:pt x="895350" y="666750"/>
                </a:lnTo>
                <a:lnTo>
                  <a:pt x="876300" y="647700"/>
                </a:lnTo>
                <a:lnTo>
                  <a:pt x="847725" y="561975"/>
                </a:lnTo>
                <a:lnTo>
                  <a:pt x="838200" y="504825"/>
                </a:lnTo>
                <a:lnTo>
                  <a:pt x="819150" y="438150"/>
                </a:lnTo>
                <a:lnTo>
                  <a:pt x="809625" y="409575"/>
                </a:lnTo>
                <a:lnTo>
                  <a:pt x="790575" y="381000"/>
                </a:lnTo>
                <a:lnTo>
                  <a:pt x="790575" y="381000"/>
                </a:lnTo>
                <a:lnTo>
                  <a:pt x="819150" y="314325"/>
                </a:lnTo>
                <a:lnTo>
                  <a:pt x="857250" y="314325"/>
                </a:lnTo>
                <a:lnTo>
                  <a:pt x="904875" y="323850"/>
                </a:lnTo>
                <a:lnTo>
                  <a:pt x="942975" y="381000"/>
                </a:lnTo>
                <a:lnTo>
                  <a:pt x="981075" y="361950"/>
                </a:lnTo>
                <a:lnTo>
                  <a:pt x="1019175" y="295275"/>
                </a:lnTo>
                <a:lnTo>
                  <a:pt x="1057275" y="247650"/>
                </a:lnTo>
                <a:lnTo>
                  <a:pt x="1047750" y="219075"/>
                </a:lnTo>
                <a:lnTo>
                  <a:pt x="1000125" y="190500"/>
                </a:lnTo>
                <a:lnTo>
                  <a:pt x="962025" y="142875"/>
                </a:lnTo>
                <a:lnTo>
                  <a:pt x="933450" y="104775"/>
                </a:lnTo>
                <a:lnTo>
                  <a:pt x="895350" y="76200"/>
                </a:lnTo>
                <a:lnTo>
                  <a:pt x="857250" y="57150"/>
                </a:lnTo>
                <a:lnTo>
                  <a:pt x="847725" y="47625"/>
                </a:lnTo>
                <a:lnTo>
                  <a:pt x="847725" y="9525"/>
                </a:lnTo>
                <a:lnTo>
                  <a:pt x="828675" y="0"/>
                </a:lnTo>
                <a:lnTo>
                  <a:pt x="828675" y="0"/>
                </a:lnTo>
                <a:lnTo>
                  <a:pt x="733425" y="95250"/>
                </a:lnTo>
                <a:lnTo>
                  <a:pt x="704850" y="123825"/>
                </a:lnTo>
                <a:lnTo>
                  <a:pt x="657225" y="171450"/>
                </a:lnTo>
                <a:lnTo>
                  <a:pt x="628650" y="238125"/>
                </a:lnTo>
                <a:lnTo>
                  <a:pt x="600075" y="238125"/>
                </a:lnTo>
                <a:lnTo>
                  <a:pt x="571500" y="266700"/>
                </a:lnTo>
                <a:lnTo>
                  <a:pt x="514350" y="247650"/>
                </a:lnTo>
                <a:lnTo>
                  <a:pt x="361950" y="238125"/>
                </a:lnTo>
                <a:lnTo>
                  <a:pt x="276225" y="238125"/>
                </a:lnTo>
                <a:lnTo>
                  <a:pt x="161925" y="247650"/>
                </a:lnTo>
                <a:lnTo>
                  <a:pt x="142875" y="209550"/>
                </a:lnTo>
                <a:lnTo>
                  <a:pt x="152400" y="171450"/>
                </a:lnTo>
                <a:lnTo>
                  <a:pt x="133350" y="152400"/>
                </a:lnTo>
                <a:lnTo>
                  <a:pt x="95250" y="171450"/>
                </a:lnTo>
                <a:lnTo>
                  <a:pt x="76200" y="200025"/>
                </a:lnTo>
                <a:lnTo>
                  <a:pt x="85725" y="247650"/>
                </a:lnTo>
                <a:lnTo>
                  <a:pt x="85725" y="266700"/>
                </a:lnTo>
                <a:lnTo>
                  <a:pt x="47625" y="314325"/>
                </a:lnTo>
                <a:lnTo>
                  <a:pt x="19050" y="400050"/>
                </a:lnTo>
                <a:lnTo>
                  <a:pt x="28575" y="485775"/>
                </a:lnTo>
                <a:lnTo>
                  <a:pt x="38100" y="552450"/>
                </a:lnTo>
                <a:lnTo>
                  <a:pt x="9525" y="619125"/>
                </a:lnTo>
                <a:lnTo>
                  <a:pt x="0" y="752475"/>
                </a:lnTo>
                <a:close/>
              </a:path>
            </a:pathLst>
          </a:cu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47" name="Freeform 46"/>
          <xdr:cNvSpPr/>
        </xdr:nvSpPr>
        <xdr:spPr>
          <a:xfrm>
            <a:off x="10433844" y="678656"/>
            <a:ext cx="19844" cy="95250"/>
          </a:xfrm>
          <a:custGeom>
            <a:avLst/>
            <a:gdLst>
              <a:gd name="connsiteX0" fmla="*/ 19844 w 19844"/>
              <a:gd name="connsiteY0" fmla="*/ 95250 h 95250"/>
              <a:gd name="connsiteX1" fmla="*/ 1984 w 19844"/>
              <a:gd name="connsiteY1" fmla="*/ 29766 h 95250"/>
              <a:gd name="connsiteX2" fmla="*/ 7937 w 19844"/>
              <a:gd name="connsiteY2" fmla="*/ 0 h 95250"/>
              <a:gd name="connsiteX3" fmla="*/ 7937 w 19844"/>
              <a:gd name="connsiteY3" fmla="*/ 0 h 952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9844" h="95250">
                <a:moveTo>
                  <a:pt x="19844" y="95250"/>
                </a:moveTo>
                <a:cubicBezTo>
                  <a:pt x="11906" y="70445"/>
                  <a:pt x="3968" y="45641"/>
                  <a:pt x="1984" y="29766"/>
                </a:cubicBezTo>
                <a:cubicBezTo>
                  <a:pt x="0" y="13891"/>
                  <a:pt x="7937" y="0"/>
                  <a:pt x="7937" y="0"/>
                </a:cubicBezTo>
                <a:lnTo>
                  <a:pt x="7937" y="0"/>
                </a:lnTo>
              </a:path>
            </a:pathLst>
          </a:cu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12</xdr:col>
      <xdr:colOff>74302</xdr:colOff>
      <xdr:row>6</xdr:row>
      <xdr:rowOff>117152</xdr:rowOff>
    </xdr:from>
    <xdr:to>
      <xdr:col>12</xdr:col>
      <xdr:colOff>571724</xdr:colOff>
      <xdr:row>7</xdr:row>
      <xdr:rowOff>271233</xdr:rowOff>
    </xdr:to>
    <xdr:grpSp>
      <xdr:nvGrpSpPr>
        <xdr:cNvPr id="53" name="Hat"/>
        <xdr:cNvGrpSpPr/>
      </xdr:nvGrpSpPr>
      <xdr:grpSpPr>
        <a:xfrm>
          <a:off x="7952037" y="1260152"/>
          <a:ext cx="497422" cy="344581"/>
          <a:chOff x="10298906" y="1351359"/>
          <a:chExt cx="952500" cy="636985"/>
        </a:xfrm>
      </xdr:grpSpPr>
      <xdr:sp macro="" textlink="">
        <xdr:nvSpPr>
          <xdr:cNvPr id="50" name="Freeform 49"/>
          <xdr:cNvSpPr/>
        </xdr:nvSpPr>
        <xdr:spPr>
          <a:xfrm>
            <a:off x="10298906" y="1351359"/>
            <a:ext cx="952500" cy="636985"/>
          </a:xfrm>
          <a:custGeom>
            <a:avLst/>
            <a:gdLst>
              <a:gd name="connsiteX0" fmla="*/ 113110 w 952500"/>
              <a:gd name="connsiteY0" fmla="*/ 636985 h 636985"/>
              <a:gd name="connsiteX1" fmla="*/ 47625 w 952500"/>
              <a:gd name="connsiteY1" fmla="*/ 625079 h 636985"/>
              <a:gd name="connsiteX2" fmla="*/ 0 w 952500"/>
              <a:gd name="connsiteY2" fmla="*/ 553641 h 636985"/>
              <a:gd name="connsiteX3" fmla="*/ 0 w 952500"/>
              <a:gd name="connsiteY3" fmla="*/ 494110 h 636985"/>
              <a:gd name="connsiteX4" fmla="*/ 17860 w 952500"/>
              <a:gd name="connsiteY4" fmla="*/ 434579 h 636985"/>
              <a:gd name="connsiteX5" fmla="*/ 71438 w 952500"/>
              <a:gd name="connsiteY5" fmla="*/ 369094 h 636985"/>
              <a:gd name="connsiteX6" fmla="*/ 119063 w 952500"/>
              <a:gd name="connsiteY6" fmla="*/ 339329 h 636985"/>
              <a:gd name="connsiteX7" fmla="*/ 101203 w 952500"/>
              <a:gd name="connsiteY7" fmla="*/ 196454 h 636985"/>
              <a:gd name="connsiteX8" fmla="*/ 119063 w 952500"/>
              <a:gd name="connsiteY8" fmla="*/ 136922 h 636985"/>
              <a:gd name="connsiteX9" fmla="*/ 154782 w 952500"/>
              <a:gd name="connsiteY9" fmla="*/ 71438 h 636985"/>
              <a:gd name="connsiteX10" fmla="*/ 267891 w 952500"/>
              <a:gd name="connsiteY10" fmla="*/ 29766 h 636985"/>
              <a:gd name="connsiteX11" fmla="*/ 440532 w 952500"/>
              <a:gd name="connsiteY11" fmla="*/ 0 h 636985"/>
              <a:gd name="connsiteX12" fmla="*/ 589360 w 952500"/>
              <a:gd name="connsiteY12" fmla="*/ 0 h 636985"/>
              <a:gd name="connsiteX13" fmla="*/ 690563 w 952500"/>
              <a:gd name="connsiteY13" fmla="*/ 23813 h 636985"/>
              <a:gd name="connsiteX14" fmla="*/ 744141 w 952500"/>
              <a:gd name="connsiteY14" fmla="*/ 71438 h 636985"/>
              <a:gd name="connsiteX15" fmla="*/ 762000 w 952500"/>
              <a:gd name="connsiteY15" fmla="*/ 119063 h 636985"/>
              <a:gd name="connsiteX16" fmla="*/ 773907 w 952500"/>
              <a:gd name="connsiteY16" fmla="*/ 196454 h 636985"/>
              <a:gd name="connsiteX17" fmla="*/ 785813 w 952500"/>
              <a:gd name="connsiteY17" fmla="*/ 273844 h 636985"/>
              <a:gd name="connsiteX18" fmla="*/ 881063 w 952500"/>
              <a:gd name="connsiteY18" fmla="*/ 297657 h 636985"/>
              <a:gd name="connsiteX19" fmla="*/ 928688 w 952500"/>
              <a:gd name="connsiteY19" fmla="*/ 357188 h 636985"/>
              <a:gd name="connsiteX20" fmla="*/ 952500 w 952500"/>
              <a:gd name="connsiteY20" fmla="*/ 410766 h 636985"/>
              <a:gd name="connsiteX21" fmla="*/ 934641 w 952500"/>
              <a:gd name="connsiteY21" fmla="*/ 500063 h 636985"/>
              <a:gd name="connsiteX22" fmla="*/ 869157 w 952500"/>
              <a:gd name="connsiteY22" fmla="*/ 565547 h 636985"/>
              <a:gd name="connsiteX23" fmla="*/ 714375 w 952500"/>
              <a:gd name="connsiteY23" fmla="*/ 583407 h 636985"/>
              <a:gd name="connsiteX24" fmla="*/ 589360 w 952500"/>
              <a:gd name="connsiteY24" fmla="*/ 589360 h 636985"/>
              <a:gd name="connsiteX25" fmla="*/ 452438 w 952500"/>
              <a:gd name="connsiteY25" fmla="*/ 595313 h 636985"/>
              <a:gd name="connsiteX26" fmla="*/ 309563 w 952500"/>
              <a:gd name="connsiteY26" fmla="*/ 619125 h 636985"/>
              <a:gd name="connsiteX27" fmla="*/ 166688 w 952500"/>
              <a:gd name="connsiteY27" fmla="*/ 631032 h 636985"/>
              <a:gd name="connsiteX28" fmla="*/ 113110 w 952500"/>
              <a:gd name="connsiteY28" fmla="*/ 636985 h 63698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</a:cxnLst>
            <a:rect l="l" t="t" r="r" b="b"/>
            <a:pathLst>
              <a:path w="952500" h="636985">
                <a:moveTo>
                  <a:pt x="113110" y="636985"/>
                </a:moveTo>
                <a:lnTo>
                  <a:pt x="47625" y="625079"/>
                </a:lnTo>
                <a:lnTo>
                  <a:pt x="0" y="553641"/>
                </a:lnTo>
                <a:lnTo>
                  <a:pt x="0" y="494110"/>
                </a:lnTo>
                <a:lnTo>
                  <a:pt x="17860" y="434579"/>
                </a:lnTo>
                <a:lnTo>
                  <a:pt x="71438" y="369094"/>
                </a:lnTo>
                <a:lnTo>
                  <a:pt x="119063" y="339329"/>
                </a:lnTo>
                <a:lnTo>
                  <a:pt x="101203" y="196454"/>
                </a:lnTo>
                <a:lnTo>
                  <a:pt x="119063" y="136922"/>
                </a:lnTo>
                <a:lnTo>
                  <a:pt x="154782" y="71438"/>
                </a:lnTo>
                <a:lnTo>
                  <a:pt x="267891" y="29766"/>
                </a:lnTo>
                <a:lnTo>
                  <a:pt x="440532" y="0"/>
                </a:lnTo>
                <a:lnTo>
                  <a:pt x="589360" y="0"/>
                </a:lnTo>
                <a:lnTo>
                  <a:pt x="690563" y="23813"/>
                </a:lnTo>
                <a:lnTo>
                  <a:pt x="744141" y="71438"/>
                </a:lnTo>
                <a:lnTo>
                  <a:pt x="762000" y="119063"/>
                </a:lnTo>
                <a:lnTo>
                  <a:pt x="773907" y="196454"/>
                </a:lnTo>
                <a:lnTo>
                  <a:pt x="785813" y="273844"/>
                </a:lnTo>
                <a:lnTo>
                  <a:pt x="881063" y="297657"/>
                </a:lnTo>
                <a:lnTo>
                  <a:pt x="928688" y="357188"/>
                </a:lnTo>
                <a:lnTo>
                  <a:pt x="952500" y="410766"/>
                </a:lnTo>
                <a:lnTo>
                  <a:pt x="934641" y="500063"/>
                </a:lnTo>
                <a:lnTo>
                  <a:pt x="869157" y="565547"/>
                </a:lnTo>
                <a:lnTo>
                  <a:pt x="714375" y="583407"/>
                </a:lnTo>
                <a:lnTo>
                  <a:pt x="589360" y="589360"/>
                </a:lnTo>
                <a:lnTo>
                  <a:pt x="452438" y="595313"/>
                </a:lnTo>
                <a:lnTo>
                  <a:pt x="309563" y="619125"/>
                </a:lnTo>
                <a:lnTo>
                  <a:pt x="166688" y="631032"/>
                </a:lnTo>
                <a:lnTo>
                  <a:pt x="113110" y="636985"/>
                </a:lnTo>
                <a:close/>
              </a:path>
            </a:pathLst>
          </a:cu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51" name="Freeform 50"/>
          <xdr:cNvSpPr/>
        </xdr:nvSpPr>
        <xdr:spPr>
          <a:xfrm>
            <a:off x="10414992" y="1631156"/>
            <a:ext cx="700484" cy="276821"/>
          </a:xfrm>
          <a:custGeom>
            <a:avLst/>
            <a:gdLst>
              <a:gd name="connsiteX0" fmla="*/ 2977 w 700484"/>
              <a:gd name="connsiteY0" fmla="*/ 71438 h 276821"/>
              <a:gd name="connsiteX1" fmla="*/ 8930 w 700484"/>
              <a:gd name="connsiteY1" fmla="*/ 142875 h 276821"/>
              <a:gd name="connsiteX2" fmla="*/ 32742 w 700484"/>
              <a:gd name="connsiteY2" fmla="*/ 232172 h 276821"/>
              <a:gd name="connsiteX3" fmla="*/ 205383 w 700484"/>
              <a:gd name="connsiteY3" fmla="*/ 273844 h 276821"/>
              <a:gd name="connsiteX4" fmla="*/ 443508 w 700484"/>
              <a:gd name="connsiteY4" fmla="*/ 250032 h 276821"/>
              <a:gd name="connsiteX5" fmla="*/ 639961 w 700484"/>
              <a:gd name="connsiteY5" fmla="*/ 208360 h 276821"/>
              <a:gd name="connsiteX6" fmla="*/ 693539 w 700484"/>
              <a:gd name="connsiteY6" fmla="*/ 95250 h 276821"/>
              <a:gd name="connsiteX7" fmla="*/ 681633 w 700484"/>
              <a:gd name="connsiteY7" fmla="*/ 0 h 2768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700484" h="276821">
                <a:moveTo>
                  <a:pt x="2977" y="71438"/>
                </a:moveTo>
                <a:cubicBezTo>
                  <a:pt x="3473" y="93762"/>
                  <a:pt x="3969" y="116086"/>
                  <a:pt x="8930" y="142875"/>
                </a:cubicBezTo>
                <a:cubicBezTo>
                  <a:pt x="13891" y="169664"/>
                  <a:pt x="0" y="210344"/>
                  <a:pt x="32742" y="232172"/>
                </a:cubicBezTo>
                <a:cubicBezTo>
                  <a:pt x="65484" y="254000"/>
                  <a:pt x="136922" y="270867"/>
                  <a:pt x="205383" y="273844"/>
                </a:cubicBezTo>
                <a:cubicBezTo>
                  <a:pt x="273844" y="276821"/>
                  <a:pt x="371078" y="260946"/>
                  <a:pt x="443508" y="250032"/>
                </a:cubicBezTo>
                <a:cubicBezTo>
                  <a:pt x="515938" y="239118"/>
                  <a:pt x="598289" y="234157"/>
                  <a:pt x="639961" y="208360"/>
                </a:cubicBezTo>
                <a:cubicBezTo>
                  <a:pt x="681633" y="182563"/>
                  <a:pt x="686594" y="129977"/>
                  <a:pt x="693539" y="95250"/>
                </a:cubicBezTo>
                <a:cubicBezTo>
                  <a:pt x="700484" y="60523"/>
                  <a:pt x="691058" y="30261"/>
                  <a:pt x="681633" y="0"/>
                </a:cubicBezTo>
              </a:path>
            </a:pathLst>
          </a:cu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52" name="Freeform 51"/>
          <xdr:cNvSpPr/>
        </xdr:nvSpPr>
        <xdr:spPr>
          <a:xfrm>
            <a:off x="10417969" y="1410891"/>
            <a:ext cx="625078" cy="169664"/>
          </a:xfrm>
          <a:custGeom>
            <a:avLst/>
            <a:gdLst>
              <a:gd name="connsiteX0" fmla="*/ 0 w 625078"/>
              <a:gd name="connsiteY0" fmla="*/ 89297 h 169664"/>
              <a:gd name="connsiteX1" fmla="*/ 59531 w 625078"/>
              <a:gd name="connsiteY1" fmla="*/ 142875 h 169664"/>
              <a:gd name="connsiteX2" fmla="*/ 202406 w 625078"/>
              <a:gd name="connsiteY2" fmla="*/ 166687 h 169664"/>
              <a:gd name="connsiteX3" fmla="*/ 381000 w 625078"/>
              <a:gd name="connsiteY3" fmla="*/ 160734 h 169664"/>
              <a:gd name="connsiteX4" fmla="*/ 541734 w 625078"/>
              <a:gd name="connsiteY4" fmla="*/ 113109 h 169664"/>
              <a:gd name="connsiteX5" fmla="*/ 613172 w 625078"/>
              <a:gd name="connsiteY5" fmla="*/ 83343 h 169664"/>
              <a:gd name="connsiteX6" fmla="*/ 613172 w 625078"/>
              <a:gd name="connsiteY6" fmla="*/ 0 h 1696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625078" h="169664">
                <a:moveTo>
                  <a:pt x="0" y="89297"/>
                </a:moveTo>
                <a:cubicBezTo>
                  <a:pt x="12898" y="109637"/>
                  <a:pt x="25797" y="129977"/>
                  <a:pt x="59531" y="142875"/>
                </a:cubicBezTo>
                <a:cubicBezTo>
                  <a:pt x="93265" y="155773"/>
                  <a:pt x="148828" y="163711"/>
                  <a:pt x="202406" y="166687"/>
                </a:cubicBezTo>
                <a:cubicBezTo>
                  <a:pt x="255984" y="169663"/>
                  <a:pt x="324445" y="169664"/>
                  <a:pt x="381000" y="160734"/>
                </a:cubicBezTo>
                <a:cubicBezTo>
                  <a:pt x="437555" y="151804"/>
                  <a:pt x="503039" y="126007"/>
                  <a:pt x="541734" y="113109"/>
                </a:cubicBezTo>
                <a:cubicBezTo>
                  <a:pt x="580429" y="100211"/>
                  <a:pt x="601266" y="102194"/>
                  <a:pt x="613172" y="83343"/>
                </a:cubicBezTo>
                <a:cubicBezTo>
                  <a:pt x="625078" y="64492"/>
                  <a:pt x="619125" y="32246"/>
                  <a:pt x="613172" y="0"/>
                </a:cubicBezTo>
              </a:path>
            </a:pathLst>
          </a:cu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11</xdr:col>
      <xdr:colOff>122467</xdr:colOff>
      <xdr:row>6</xdr:row>
      <xdr:rowOff>125271</xdr:rowOff>
    </xdr:from>
    <xdr:to>
      <xdr:col>11</xdr:col>
      <xdr:colOff>677414</xdr:colOff>
      <xdr:row>7</xdr:row>
      <xdr:rowOff>190053</xdr:rowOff>
    </xdr:to>
    <xdr:grpSp>
      <xdr:nvGrpSpPr>
        <xdr:cNvPr id="58" name="Car"/>
        <xdr:cNvGrpSpPr/>
      </xdr:nvGrpSpPr>
      <xdr:grpSpPr>
        <a:xfrm>
          <a:off x="6778761" y="1268271"/>
          <a:ext cx="554947" cy="255282"/>
          <a:chOff x="8447484" y="1393031"/>
          <a:chExt cx="1387079" cy="601266"/>
        </a:xfrm>
      </xdr:grpSpPr>
      <xdr:sp macro="" textlink="">
        <xdr:nvSpPr>
          <xdr:cNvPr id="54" name="Freeform 53"/>
          <xdr:cNvSpPr/>
        </xdr:nvSpPr>
        <xdr:spPr>
          <a:xfrm>
            <a:off x="8447484" y="1393031"/>
            <a:ext cx="1387079" cy="511969"/>
          </a:xfrm>
          <a:custGeom>
            <a:avLst/>
            <a:gdLst>
              <a:gd name="connsiteX0" fmla="*/ 0 w 1387079"/>
              <a:gd name="connsiteY0" fmla="*/ 398860 h 511969"/>
              <a:gd name="connsiteX1" fmla="*/ 59532 w 1387079"/>
              <a:gd name="connsiteY1" fmla="*/ 428625 h 511969"/>
              <a:gd name="connsiteX2" fmla="*/ 148829 w 1387079"/>
              <a:gd name="connsiteY2" fmla="*/ 470297 h 511969"/>
              <a:gd name="connsiteX3" fmla="*/ 464344 w 1387079"/>
              <a:gd name="connsiteY3" fmla="*/ 500063 h 511969"/>
              <a:gd name="connsiteX4" fmla="*/ 1012032 w 1387079"/>
              <a:gd name="connsiteY4" fmla="*/ 488157 h 511969"/>
              <a:gd name="connsiteX5" fmla="*/ 1309688 w 1387079"/>
              <a:gd name="connsiteY5" fmla="*/ 511969 h 511969"/>
              <a:gd name="connsiteX6" fmla="*/ 1387079 w 1387079"/>
              <a:gd name="connsiteY6" fmla="*/ 416719 h 511969"/>
              <a:gd name="connsiteX7" fmla="*/ 1357313 w 1387079"/>
              <a:gd name="connsiteY7" fmla="*/ 351235 h 511969"/>
              <a:gd name="connsiteX8" fmla="*/ 1345407 w 1387079"/>
              <a:gd name="connsiteY8" fmla="*/ 261938 h 511969"/>
              <a:gd name="connsiteX9" fmla="*/ 1327547 w 1387079"/>
              <a:gd name="connsiteY9" fmla="*/ 202407 h 511969"/>
              <a:gd name="connsiteX10" fmla="*/ 1303735 w 1387079"/>
              <a:gd name="connsiteY10" fmla="*/ 160735 h 511969"/>
              <a:gd name="connsiteX11" fmla="*/ 1226344 w 1387079"/>
              <a:gd name="connsiteY11" fmla="*/ 142875 h 511969"/>
              <a:gd name="connsiteX12" fmla="*/ 982266 w 1387079"/>
              <a:gd name="connsiteY12" fmla="*/ 119063 h 511969"/>
              <a:gd name="connsiteX13" fmla="*/ 827485 w 1387079"/>
              <a:gd name="connsiteY13" fmla="*/ 113110 h 511969"/>
              <a:gd name="connsiteX14" fmla="*/ 726282 w 1387079"/>
              <a:gd name="connsiteY14" fmla="*/ 35719 h 511969"/>
              <a:gd name="connsiteX15" fmla="*/ 684610 w 1387079"/>
              <a:gd name="connsiteY15" fmla="*/ 29766 h 511969"/>
              <a:gd name="connsiteX16" fmla="*/ 672704 w 1387079"/>
              <a:gd name="connsiteY16" fmla="*/ 53578 h 511969"/>
              <a:gd name="connsiteX17" fmla="*/ 666750 w 1387079"/>
              <a:gd name="connsiteY17" fmla="*/ 107157 h 511969"/>
              <a:gd name="connsiteX18" fmla="*/ 642938 w 1387079"/>
              <a:gd name="connsiteY18" fmla="*/ 142875 h 511969"/>
              <a:gd name="connsiteX19" fmla="*/ 589360 w 1387079"/>
              <a:gd name="connsiteY19" fmla="*/ 172641 h 511969"/>
              <a:gd name="connsiteX20" fmla="*/ 535782 w 1387079"/>
              <a:gd name="connsiteY20" fmla="*/ 172641 h 511969"/>
              <a:gd name="connsiteX21" fmla="*/ 500063 w 1387079"/>
              <a:gd name="connsiteY21" fmla="*/ 172641 h 511969"/>
              <a:gd name="connsiteX22" fmla="*/ 464344 w 1387079"/>
              <a:gd name="connsiteY22" fmla="*/ 130969 h 511969"/>
              <a:gd name="connsiteX23" fmla="*/ 440532 w 1387079"/>
              <a:gd name="connsiteY23" fmla="*/ 83344 h 511969"/>
              <a:gd name="connsiteX24" fmla="*/ 440532 w 1387079"/>
              <a:gd name="connsiteY24" fmla="*/ 47625 h 511969"/>
              <a:gd name="connsiteX25" fmla="*/ 446485 w 1387079"/>
              <a:gd name="connsiteY25" fmla="*/ 23813 h 511969"/>
              <a:gd name="connsiteX26" fmla="*/ 410766 w 1387079"/>
              <a:gd name="connsiteY26" fmla="*/ 0 h 511969"/>
              <a:gd name="connsiteX27" fmla="*/ 381000 w 1387079"/>
              <a:gd name="connsiteY27" fmla="*/ 17860 h 511969"/>
              <a:gd name="connsiteX28" fmla="*/ 321469 w 1387079"/>
              <a:gd name="connsiteY28" fmla="*/ 29766 h 511969"/>
              <a:gd name="connsiteX29" fmla="*/ 261938 w 1387079"/>
              <a:gd name="connsiteY29" fmla="*/ 47625 h 511969"/>
              <a:gd name="connsiteX30" fmla="*/ 178594 w 1387079"/>
              <a:gd name="connsiteY30" fmla="*/ 101203 h 511969"/>
              <a:gd name="connsiteX31" fmla="*/ 101204 w 1387079"/>
              <a:gd name="connsiteY31" fmla="*/ 166688 h 511969"/>
              <a:gd name="connsiteX32" fmla="*/ 53579 w 1387079"/>
              <a:gd name="connsiteY32" fmla="*/ 232172 h 511969"/>
              <a:gd name="connsiteX33" fmla="*/ 35719 w 1387079"/>
              <a:gd name="connsiteY33" fmla="*/ 291703 h 511969"/>
              <a:gd name="connsiteX34" fmla="*/ 41672 w 1387079"/>
              <a:gd name="connsiteY34" fmla="*/ 327422 h 511969"/>
              <a:gd name="connsiteX35" fmla="*/ 0 w 1387079"/>
              <a:gd name="connsiteY35" fmla="*/ 398860 h 5119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</a:cxnLst>
            <a:rect l="l" t="t" r="r" b="b"/>
            <a:pathLst>
              <a:path w="1387079" h="511969">
                <a:moveTo>
                  <a:pt x="0" y="398860"/>
                </a:moveTo>
                <a:lnTo>
                  <a:pt x="59532" y="428625"/>
                </a:lnTo>
                <a:lnTo>
                  <a:pt x="148829" y="470297"/>
                </a:lnTo>
                <a:lnTo>
                  <a:pt x="464344" y="500063"/>
                </a:lnTo>
                <a:lnTo>
                  <a:pt x="1012032" y="488157"/>
                </a:lnTo>
                <a:lnTo>
                  <a:pt x="1309688" y="511969"/>
                </a:lnTo>
                <a:lnTo>
                  <a:pt x="1387079" y="416719"/>
                </a:lnTo>
                <a:lnTo>
                  <a:pt x="1357313" y="351235"/>
                </a:lnTo>
                <a:lnTo>
                  <a:pt x="1345407" y="261938"/>
                </a:lnTo>
                <a:lnTo>
                  <a:pt x="1327547" y="202407"/>
                </a:lnTo>
                <a:lnTo>
                  <a:pt x="1303735" y="160735"/>
                </a:lnTo>
                <a:lnTo>
                  <a:pt x="1226344" y="142875"/>
                </a:lnTo>
                <a:lnTo>
                  <a:pt x="982266" y="119063"/>
                </a:lnTo>
                <a:lnTo>
                  <a:pt x="827485" y="113110"/>
                </a:lnTo>
                <a:lnTo>
                  <a:pt x="726282" y="35719"/>
                </a:lnTo>
                <a:lnTo>
                  <a:pt x="684610" y="29766"/>
                </a:lnTo>
                <a:lnTo>
                  <a:pt x="672704" y="53578"/>
                </a:lnTo>
                <a:lnTo>
                  <a:pt x="666750" y="107157"/>
                </a:lnTo>
                <a:lnTo>
                  <a:pt x="642938" y="142875"/>
                </a:lnTo>
                <a:lnTo>
                  <a:pt x="589360" y="172641"/>
                </a:lnTo>
                <a:lnTo>
                  <a:pt x="535782" y="172641"/>
                </a:lnTo>
                <a:lnTo>
                  <a:pt x="500063" y="172641"/>
                </a:lnTo>
                <a:lnTo>
                  <a:pt x="464344" y="130969"/>
                </a:lnTo>
                <a:lnTo>
                  <a:pt x="440532" y="83344"/>
                </a:lnTo>
                <a:lnTo>
                  <a:pt x="440532" y="47625"/>
                </a:lnTo>
                <a:lnTo>
                  <a:pt x="446485" y="23813"/>
                </a:lnTo>
                <a:lnTo>
                  <a:pt x="410766" y="0"/>
                </a:lnTo>
                <a:lnTo>
                  <a:pt x="381000" y="17860"/>
                </a:lnTo>
                <a:lnTo>
                  <a:pt x="321469" y="29766"/>
                </a:lnTo>
                <a:lnTo>
                  <a:pt x="261938" y="47625"/>
                </a:lnTo>
                <a:lnTo>
                  <a:pt x="178594" y="101203"/>
                </a:lnTo>
                <a:lnTo>
                  <a:pt x="101204" y="166688"/>
                </a:lnTo>
                <a:lnTo>
                  <a:pt x="53579" y="232172"/>
                </a:lnTo>
                <a:lnTo>
                  <a:pt x="35719" y="291703"/>
                </a:lnTo>
                <a:lnTo>
                  <a:pt x="41672" y="327422"/>
                </a:lnTo>
                <a:lnTo>
                  <a:pt x="0" y="398860"/>
                </a:lnTo>
                <a:close/>
              </a:path>
            </a:pathLst>
          </a:cu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55" name="Oval 54"/>
          <xdr:cNvSpPr/>
        </xdr:nvSpPr>
        <xdr:spPr>
          <a:xfrm>
            <a:off x="8608218" y="1750219"/>
            <a:ext cx="267891" cy="244078"/>
          </a:xfrm>
          <a:prstGeom prst="ellipse">
            <a:avLst/>
          </a:pr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56" name="Oval 55"/>
          <xdr:cNvSpPr/>
        </xdr:nvSpPr>
        <xdr:spPr>
          <a:xfrm>
            <a:off x="9492837" y="1741888"/>
            <a:ext cx="267891" cy="244078"/>
          </a:xfrm>
          <a:prstGeom prst="ellipse">
            <a:avLst/>
          </a:prstGeom>
          <a:solidFill>
            <a:srgbClr val="7F7F7F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 editAs="oneCell">
    <xdr:from>
      <xdr:col>1</xdr:col>
      <xdr:colOff>78613</xdr:colOff>
      <xdr:row>1</xdr:row>
      <xdr:rowOff>19050</xdr:rowOff>
    </xdr:from>
    <xdr:to>
      <xdr:col>1</xdr:col>
      <xdr:colOff>535813</xdr:colOff>
      <xdr:row>3</xdr:row>
      <xdr:rowOff>85725</xdr:rowOff>
    </xdr:to>
    <xdr:pic>
      <xdr:nvPicPr>
        <xdr:cNvPr id="62" name="Picture 61" descr="C:\Users\Andrew Werner\Desktop\Temp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 l="5178" t="144" r="71727" b="65213"/>
        <a:stretch/>
      </xdr:blipFill>
      <xdr:spPr bwMode="auto">
        <a:xfrm>
          <a:off x="688213" y="209550"/>
          <a:ext cx="457200" cy="447675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193797</xdr:colOff>
      <xdr:row>1</xdr:row>
      <xdr:rowOff>79375</xdr:rowOff>
    </xdr:from>
    <xdr:to>
      <xdr:col>2</xdr:col>
      <xdr:colOff>490479</xdr:colOff>
      <xdr:row>3</xdr:row>
      <xdr:rowOff>136525</xdr:rowOff>
    </xdr:to>
    <xdr:pic>
      <xdr:nvPicPr>
        <xdr:cNvPr id="64" name="Picture 63" descr="C:\Users\Andrew Werner\Desktop\Temp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 l="7714" t="39785" r="79523" b="30714"/>
        <a:stretch/>
      </xdr:blipFill>
      <xdr:spPr bwMode="auto">
        <a:xfrm>
          <a:off x="1412997" y="269875"/>
          <a:ext cx="296682" cy="43815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116713</xdr:colOff>
      <xdr:row>1</xdr:row>
      <xdr:rowOff>101744</xdr:rowOff>
    </xdr:from>
    <xdr:to>
      <xdr:col>3</xdr:col>
      <xdr:colOff>573913</xdr:colOff>
      <xdr:row>3</xdr:row>
      <xdr:rowOff>103763</xdr:rowOff>
    </xdr:to>
    <xdr:pic>
      <xdr:nvPicPr>
        <xdr:cNvPr id="65" name="Picture 64" descr="C:\Users\Andrew Werner\Desktop\Temp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 l="15551" t="66429" r="61429" b="4643"/>
        <a:stretch/>
      </xdr:blipFill>
      <xdr:spPr bwMode="auto">
        <a:xfrm>
          <a:off x="1945513" y="292244"/>
          <a:ext cx="457200" cy="383019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101473</xdr:colOff>
      <xdr:row>4</xdr:row>
      <xdr:rowOff>68444</xdr:rowOff>
    </xdr:from>
    <xdr:to>
      <xdr:col>2</xdr:col>
      <xdr:colOff>558673</xdr:colOff>
      <xdr:row>6</xdr:row>
      <xdr:rowOff>60325</xdr:rowOff>
    </xdr:to>
    <xdr:pic>
      <xdr:nvPicPr>
        <xdr:cNvPr id="66" name="Picture 65" descr="C:\Users\Andrew Werner\Desktop\Temp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 l="39038" t="54021" r="37724" b="17551"/>
        <a:stretch/>
      </xdr:blipFill>
      <xdr:spPr bwMode="auto">
        <a:xfrm>
          <a:off x="1320673" y="830444"/>
          <a:ext cx="457200" cy="372881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107188</xdr:colOff>
      <xdr:row>4</xdr:row>
      <xdr:rowOff>128905</xdr:rowOff>
    </xdr:from>
    <xdr:to>
      <xdr:col>1</xdr:col>
      <xdr:colOff>564388</xdr:colOff>
      <xdr:row>5</xdr:row>
      <xdr:rowOff>181909</xdr:rowOff>
    </xdr:to>
    <xdr:pic>
      <xdr:nvPicPr>
        <xdr:cNvPr id="67" name="Picture 66" descr="C:\Users\Andrew Werner\Desktop\Temp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 l="57786" t="77929" r="17737" b="1753"/>
        <a:stretch/>
      </xdr:blipFill>
      <xdr:spPr bwMode="auto">
        <a:xfrm>
          <a:off x="716788" y="890905"/>
          <a:ext cx="457200" cy="243504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114300</xdr:colOff>
      <xdr:row>1</xdr:row>
      <xdr:rowOff>40005</xdr:rowOff>
    </xdr:from>
    <xdr:to>
      <xdr:col>4</xdr:col>
      <xdr:colOff>550926</xdr:colOff>
      <xdr:row>3</xdr:row>
      <xdr:rowOff>116205</xdr:rowOff>
    </xdr:to>
    <xdr:pic>
      <xdr:nvPicPr>
        <xdr:cNvPr id="68" name="Picture 67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2700" y="230505"/>
          <a:ext cx="436626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143208</xdr:colOff>
      <xdr:row>4</xdr:row>
      <xdr:rowOff>3175</xdr:rowOff>
    </xdr:from>
    <xdr:to>
      <xdr:col>3</xdr:col>
      <xdr:colOff>589898</xdr:colOff>
      <xdr:row>6</xdr:row>
      <xdr:rowOff>79375</xdr:rowOff>
    </xdr:to>
    <xdr:pic>
      <xdr:nvPicPr>
        <xdr:cNvPr id="74" name="Picture 73" descr="C:\Users\Andrew Werner\Desktop\Temp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 l="74524" t="34464" r="5238" b="34464"/>
        <a:stretch/>
      </xdr:blipFill>
      <xdr:spPr bwMode="auto">
        <a:xfrm>
          <a:off x="1972008" y="765175"/>
          <a:ext cx="446690" cy="4572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123825</xdr:colOff>
      <xdr:row>4</xdr:row>
      <xdr:rowOff>85725</xdr:rowOff>
    </xdr:from>
    <xdr:to>
      <xdr:col>4</xdr:col>
      <xdr:colOff>581025</xdr:colOff>
      <xdr:row>6</xdr:row>
      <xdr:rowOff>44808</xdr:rowOff>
    </xdr:to>
    <xdr:pic>
      <xdr:nvPicPr>
        <xdr:cNvPr id="75" name="Picture 74" descr="C:\Users\Andrew Werner\Desktop\Temp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 l="31429" t="21605" r="49524" b="57143"/>
        <a:stretch/>
      </xdr:blipFill>
      <xdr:spPr bwMode="auto">
        <a:xfrm>
          <a:off x="2562225" y="847725"/>
          <a:ext cx="457200" cy="340083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E75"/>
  <sheetViews>
    <sheetView tabSelected="1" zoomScale="40" zoomScaleNormal="40" workbookViewId="0"/>
  </sheetViews>
  <sheetFormatPr defaultRowHeight="15"/>
  <cols>
    <col min="1" max="2" width="2.85546875" customWidth="1"/>
    <col min="3" max="3" width="11.42578125" customWidth="1"/>
    <col min="4" max="5" width="5.7109375" customWidth="1"/>
    <col min="6" max="14" width="18.140625" customWidth="1"/>
    <col min="15" max="16" width="5.7109375" customWidth="1"/>
    <col min="17" max="17" width="11.42578125" customWidth="1"/>
    <col min="18" max="19" width="2.85546875" customWidth="1"/>
    <col min="20" max="20" width="9.140625" customWidth="1"/>
    <col min="21" max="30" width="15.42578125" customWidth="1"/>
  </cols>
  <sheetData>
    <row r="1" spans="1:31">
      <c r="A1" s="171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</row>
    <row r="2" spans="1:31" ht="15" customHeight="1">
      <c r="A2" s="4"/>
      <c r="B2" s="109" t="s">
        <v>17</v>
      </c>
      <c r="C2" s="110"/>
      <c r="D2" s="110"/>
      <c r="E2" s="111"/>
      <c r="F2" s="5">
        <v>220</v>
      </c>
      <c r="G2" s="5"/>
      <c r="H2" s="5">
        <v>220</v>
      </c>
      <c r="I2" s="5">
        <v>240</v>
      </c>
      <c r="J2" s="6">
        <v>200</v>
      </c>
      <c r="K2" s="3">
        <v>260</v>
      </c>
      <c r="L2" s="3">
        <v>260</v>
      </c>
      <c r="M2" s="3">
        <v>150</v>
      </c>
      <c r="N2" s="1">
        <v>280</v>
      </c>
      <c r="O2" s="120" t="s">
        <v>26</v>
      </c>
      <c r="P2" s="121"/>
      <c r="Q2" s="121"/>
      <c r="R2" s="122"/>
      <c r="S2" s="4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</row>
    <row r="3" spans="1:31" ht="60" customHeight="1">
      <c r="A3" s="4"/>
      <c r="B3" s="112"/>
      <c r="C3" s="113"/>
      <c r="D3" s="113"/>
      <c r="E3" s="114"/>
      <c r="F3" s="77"/>
      <c r="G3" s="149" t="s">
        <v>39</v>
      </c>
      <c r="H3" s="77"/>
      <c r="I3" s="77"/>
      <c r="J3" s="59"/>
      <c r="K3" s="75"/>
      <c r="L3" s="75"/>
      <c r="M3" s="65"/>
      <c r="N3" s="76"/>
      <c r="O3" s="123"/>
      <c r="P3" s="124"/>
      <c r="Q3" s="124"/>
      <c r="R3" s="125"/>
      <c r="S3" s="4"/>
      <c r="T3" s="97"/>
      <c r="U3" s="97"/>
      <c r="V3" s="97"/>
      <c r="W3" s="97"/>
      <c r="X3" s="97"/>
      <c r="Y3" s="97"/>
      <c r="Z3" s="97"/>
      <c r="AA3" s="97">
        <v>2</v>
      </c>
      <c r="AB3" s="97"/>
      <c r="AC3" s="97"/>
      <c r="AD3" s="97"/>
      <c r="AE3" s="97"/>
    </row>
    <row r="4" spans="1:31" ht="30" customHeight="1">
      <c r="A4" s="4"/>
      <c r="B4" s="112"/>
      <c r="C4" s="113"/>
      <c r="D4" s="113"/>
      <c r="E4" s="114"/>
      <c r="F4" s="26" t="s">
        <v>18</v>
      </c>
      <c r="G4" s="149"/>
      <c r="H4" s="26" t="s">
        <v>19</v>
      </c>
      <c r="I4" s="26" t="s">
        <v>20</v>
      </c>
      <c r="J4" s="118" t="s">
        <v>21</v>
      </c>
      <c r="K4" s="27" t="s">
        <v>22</v>
      </c>
      <c r="L4" s="27" t="s">
        <v>23</v>
      </c>
      <c r="M4" s="147" t="s">
        <v>24</v>
      </c>
      <c r="N4" s="35" t="s">
        <v>25</v>
      </c>
      <c r="O4" s="123"/>
      <c r="P4" s="124"/>
      <c r="Q4" s="124"/>
      <c r="R4" s="125"/>
      <c r="S4" s="4"/>
      <c r="T4" s="97"/>
      <c r="U4" s="107" t="s">
        <v>90</v>
      </c>
      <c r="V4" s="107"/>
      <c r="W4" s="86" t="s">
        <v>157</v>
      </c>
      <c r="X4" s="108" t="s">
        <v>160</v>
      </c>
      <c r="Y4" s="107"/>
      <c r="Z4" s="107" t="s">
        <v>158</v>
      </c>
      <c r="AA4" s="107"/>
      <c r="AB4" s="107"/>
      <c r="AC4" s="95" t="s">
        <v>88</v>
      </c>
      <c r="AD4" s="96" t="s">
        <v>108</v>
      </c>
      <c r="AE4" s="97"/>
    </row>
    <row r="5" spans="1:31" ht="30" customHeight="1">
      <c r="A5" s="4"/>
      <c r="B5" s="115">
        <v>1100</v>
      </c>
      <c r="C5" s="116"/>
      <c r="D5" s="116"/>
      <c r="E5" s="117"/>
      <c r="F5" s="7"/>
      <c r="G5" s="8" t="s">
        <v>6</v>
      </c>
      <c r="H5" s="7"/>
      <c r="I5" s="60"/>
      <c r="J5" s="119"/>
      <c r="K5" s="11"/>
      <c r="L5" s="11"/>
      <c r="M5" s="148"/>
      <c r="N5" s="10"/>
      <c r="O5" s="126"/>
      <c r="P5" s="127"/>
      <c r="Q5" s="127"/>
      <c r="R5" s="128"/>
      <c r="S5" s="4"/>
      <c r="T5" s="97"/>
      <c r="U5" s="87" t="s">
        <v>143</v>
      </c>
      <c r="V5" s="94" t="s">
        <v>144</v>
      </c>
      <c r="W5" s="88" t="s">
        <v>145</v>
      </c>
      <c r="X5" s="89" t="s">
        <v>146</v>
      </c>
      <c r="Y5" s="90" t="s">
        <v>147</v>
      </c>
      <c r="Z5" s="93" t="s">
        <v>148</v>
      </c>
      <c r="AA5" s="91" t="s">
        <v>149</v>
      </c>
      <c r="AB5" s="92" t="s">
        <v>150</v>
      </c>
      <c r="AC5" s="86" t="s">
        <v>151</v>
      </c>
      <c r="AD5" s="86" t="s">
        <v>152</v>
      </c>
      <c r="AE5" s="97"/>
    </row>
    <row r="6" spans="1:31" ht="96" customHeight="1">
      <c r="A6" s="4"/>
      <c r="B6" s="29">
        <v>200</v>
      </c>
      <c r="C6" s="80" t="s">
        <v>180</v>
      </c>
      <c r="D6" s="30" t="s">
        <v>9</v>
      </c>
      <c r="E6" s="13"/>
      <c r="F6" s="20"/>
      <c r="G6" s="20"/>
      <c r="H6" s="20"/>
      <c r="I6" s="20"/>
      <c r="J6" s="20"/>
      <c r="K6" s="20"/>
      <c r="L6" s="20"/>
      <c r="M6" s="20"/>
      <c r="N6" s="20"/>
      <c r="O6" s="14"/>
      <c r="P6" s="36" t="s">
        <v>27</v>
      </c>
      <c r="Q6" s="79" t="s">
        <v>178</v>
      </c>
      <c r="R6" s="37">
        <v>300</v>
      </c>
      <c r="S6" s="4"/>
      <c r="T6" s="97"/>
      <c r="U6" s="166" t="s">
        <v>170</v>
      </c>
      <c r="V6" s="161"/>
      <c r="W6" s="103" t="s">
        <v>165</v>
      </c>
      <c r="X6" s="165">
        <v>707</v>
      </c>
      <c r="Y6" s="165"/>
      <c r="Z6" s="161" t="s">
        <v>155</v>
      </c>
      <c r="AA6" s="161"/>
      <c r="AB6" s="161"/>
      <c r="AC6" s="106">
        <v>0</v>
      </c>
      <c r="AD6" s="24">
        <v>14</v>
      </c>
      <c r="AE6" s="101" t="s">
        <v>159</v>
      </c>
    </row>
    <row r="7" spans="1:31" ht="96" customHeight="1">
      <c r="A7" s="4"/>
      <c r="B7" s="31">
        <v>180</v>
      </c>
      <c r="C7" s="81" t="s">
        <v>180</v>
      </c>
      <c r="D7" s="32" t="s">
        <v>10</v>
      </c>
      <c r="E7" s="52"/>
      <c r="F7" s="20"/>
      <c r="G7" s="139" t="s">
        <v>1</v>
      </c>
      <c r="H7" s="139"/>
      <c r="I7" s="20"/>
      <c r="J7" s="20"/>
      <c r="K7" s="145"/>
      <c r="L7" s="145"/>
      <c r="M7" s="145"/>
      <c r="N7" s="20"/>
      <c r="O7" s="14"/>
      <c r="P7" s="36" t="s">
        <v>28</v>
      </c>
      <c r="Q7" s="79"/>
      <c r="R7" s="37">
        <v>300</v>
      </c>
      <c r="S7" s="4"/>
      <c r="T7" s="97"/>
      <c r="U7" s="66"/>
      <c r="V7" s="67"/>
      <c r="W7" s="67" t="s">
        <v>185</v>
      </c>
      <c r="X7" s="67"/>
      <c r="Y7" s="67" t="s">
        <v>172</v>
      </c>
      <c r="Z7" s="67" t="s">
        <v>184</v>
      </c>
      <c r="AA7" s="67" t="s">
        <v>176</v>
      </c>
      <c r="AB7" s="67" t="s">
        <v>183</v>
      </c>
      <c r="AC7" s="67" t="s">
        <v>84</v>
      </c>
      <c r="AD7" s="68" t="s">
        <v>78</v>
      </c>
      <c r="AE7" s="101"/>
    </row>
    <row r="8" spans="1:31" ht="96" customHeight="1">
      <c r="A8" s="4"/>
      <c r="B8" s="29"/>
      <c r="C8" s="55" t="s">
        <v>99</v>
      </c>
      <c r="D8" s="163" t="s">
        <v>1</v>
      </c>
      <c r="E8" s="164"/>
      <c r="F8" s="20"/>
      <c r="G8" s="141"/>
      <c r="H8" s="142"/>
      <c r="I8" s="20"/>
      <c r="J8" s="20"/>
      <c r="K8" s="143"/>
      <c r="L8" s="143"/>
      <c r="M8" s="143"/>
      <c r="N8" s="20"/>
      <c r="O8" s="168" t="s">
        <v>1</v>
      </c>
      <c r="P8" s="169"/>
      <c r="Q8" s="56" t="s">
        <v>99</v>
      </c>
      <c r="R8" s="37"/>
      <c r="S8" s="4"/>
      <c r="T8" s="97"/>
      <c r="U8" s="170" t="s">
        <v>50</v>
      </c>
      <c r="V8" s="162"/>
      <c r="W8" s="102" t="s">
        <v>42</v>
      </c>
      <c r="X8" s="167">
        <v>2803</v>
      </c>
      <c r="Y8" s="167"/>
      <c r="Z8" s="162" t="s">
        <v>154</v>
      </c>
      <c r="AA8" s="162"/>
      <c r="AB8" s="162"/>
      <c r="AC8" s="105">
        <v>-1</v>
      </c>
      <c r="AD8" s="23">
        <v>30</v>
      </c>
      <c r="AE8" s="101" t="s">
        <v>166</v>
      </c>
    </row>
    <row r="9" spans="1:31" ht="96" customHeight="1">
      <c r="A9" s="4"/>
      <c r="B9" s="53">
        <v>180</v>
      </c>
      <c r="C9" s="82" t="s">
        <v>180</v>
      </c>
      <c r="D9" s="54" t="s">
        <v>11</v>
      </c>
      <c r="E9" s="62"/>
      <c r="F9" s="20"/>
      <c r="G9" s="20"/>
      <c r="H9" s="20"/>
      <c r="I9" s="20"/>
      <c r="J9" s="20"/>
      <c r="K9" s="144"/>
      <c r="L9" s="144"/>
      <c r="M9" s="144"/>
      <c r="N9" s="20"/>
      <c r="O9" s="61"/>
      <c r="P9" s="36" t="s">
        <v>29</v>
      </c>
      <c r="Q9" s="79"/>
      <c r="R9" s="37">
        <v>320</v>
      </c>
      <c r="S9" s="4"/>
      <c r="T9" s="97"/>
      <c r="U9" s="66"/>
      <c r="V9" s="67" t="s">
        <v>186</v>
      </c>
      <c r="W9" s="67"/>
      <c r="X9" s="67" t="s">
        <v>181</v>
      </c>
      <c r="Y9" s="67"/>
      <c r="Z9" s="67"/>
      <c r="AA9" s="67"/>
      <c r="AB9" s="67"/>
      <c r="AC9" s="67" t="s">
        <v>173</v>
      </c>
      <c r="AD9" s="68"/>
      <c r="AE9" s="101"/>
    </row>
    <row r="10" spans="1:31" ht="96" customHeight="1">
      <c r="A10" s="4"/>
      <c r="B10" s="29">
        <v>200</v>
      </c>
      <c r="C10" s="63"/>
      <c r="D10" s="155" t="s">
        <v>12</v>
      </c>
      <c r="E10" s="156"/>
      <c r="F10" s="20"/>
      <c r="G10" s="140" t="s">
        <v>34</v>
      </c>
      <c r="H10" s="140"/>
      <c r="I10" s="140"/>
      <c r="J10" s="140"/>
      <c r="K10" s="140"/>
      <c r="L10" s="140"/>
      <c r="M10" s="140"/>
      <c r="N10" s="20"/>
      <c r="O10" s="157" t="s">
        <v>30</v>
      </c>
      <c r="P10" s="158"/>
      <c r="Q10" s="64"/>
      <c r="R10" s="38">
        <v>200</v>
      </c>
      <c r="S10" s="4"/>
      <c r="T10" s="97"/>
      <c r="U10" s="166" t="s">
        <v>51</v>
      </c>
      <c r="V10" s="161"/>
      <c r="W10" s="103" t="s">
        <v>41</v>
      </c>
      <c r="X10" s="165">
        <v>2645</v>
      </c>
      <c r="Y10" s="165"/>
      <c r="Z10" s="161" t="s">
        <v>154</v>
      </c>
      <c r="AA10" s="161"/>
      <c r="AB10" s="161"/>
      <c r="AC10" s="106">
        <v>-1</v>
      </c>
      <c r="AD10" s="24">
        <v>31</v>
      </c>
      <c r="AE10" s="101" t="s">
        <v>171</v>
      </c>
    </row>
    <row r="11" spans="1:31" ht="96" customHeight="1">
      <c r="A11" s="4"/>
      <c r="B11" s="33">
        <v>160</v>
      </c>
      <c r="C11" s="83" t="s">
        <v>179</v>
      </c>
      <c r="D11" s="34" t="s">
        <v>13</v>
      </c>
      <c r="E11" s="16"/>
      <c r="F11" s="20"/>
      <c r="G11" s="20"/>
      <c r="H11" s="20"/>
      <c r="I11" s="20"/>
      <c r="J11" s="20"/>
      <c r="K11" s="20"/>
      <c r="L11" s="139" t="s">
        <v>6</v>
      </c>
      <c r="M11" s="139"/>
      <c r="N11" s="20"/>
      <c r="O11" s="57" t="s">
        <v>6</v>
      </c>
      <c r="P11" s="152" t="s">
        <v>39</v>
      </c>
      <c r="Q11" s="152"/>
      <c r="R11" s="40"/>
      <c r="S11" s="4"/>
      <c r="T11" s="97"/>
      <c r="U11" s="66" t="s">
        <v>177</v>
      </c>
      <c r="V11" s="67"/>
      <c r="W11" s="67"/>
      <c r="X11" s="67"/>
      <c r="Y11" s="67"/>
      <c r="Z11" s="67" t="s">
        <v>175</v>
      </c>
      <c r="AA11" s="67"/>
      <c r="AB11" s="67"/>
      <c r="AC11" s="67" t="s">
        <v>174</v>
      </c>
      <c r="AD11" s="68"/>
      <c r="AE11" s="101"/>
    </row>
    <row r="12" spans="1:31" ht="96" customHeight="1">
      <c r="A12" s="4"/>
      <c r="B12" s="33">
        <v>140</v>
      </c>
      <c r="C12" s="83" t="s">
        <v>179</v>
      </c>
      <c r="D12" s="34" t="s">
        <v>14</v>
      </c>
      <c r="E12" s="16"/>
      <c r="F12" s="20"/>
      <c r="G12" s="20"/>
      <c r="H12" s="22"/>
      <c r="I12" s="22"/>
      <c r="J12" s="22"/>
      <c r="K12" s="20"/>
      <c r="L12" s="137"/>
      <c r="M12" s="138"/>
      <c r="N12" s="20"/>
      <c r="O12" s="17"/>
      <c r="P12" s="39" t="s">
        <v>31</v>
      </c>
      <c r="Q12" s="78" t="s">
        <v>178</v>
      </c>
      <c r="R12" s="40">
        <v>350</v>
      </c>
      <c r="S12" s="4"/>
      <c r="T12" s="97"/>
      <c r="U12" s="166" t="s">
        <v>141</v>
      </c>
      <c r="V12" s="161"/>
      <c r="W12" s="103" t="s">
        <v>35</v>
      </c>
      <c r="X12" s="165">
        <v>250</v>
      </c>
      <c r="Y12" s="165"/>
      <c r="Z12" s="161" t="s">
        <v>154</v>
      </c>
      <c r="AA12" s="161"/>
      <c r="AB12" s="161"/>
      <c r="AC12" s="106">
        <v>-1</v>
      </c>
      <c r="AD12" s="24">
        <v>29</v>
      </c>
      <c r="AE12" s="101" t="s">
        <v>171</v>
      </c>
    </row>
    <row r="13" spans="1:31" ht="96" customHeight="1">
      <c r="A13" s="4"/>
      <c r="B13" s="29">
        <v>150</v>
      </c>
      <c r="C13" s="55"/>
      <c r="D13" s="150" t="s">
        <v>16</v>
      </c>
      <c r="E13" s="151"/>
      <c r="F13" s="20"/>
      <c r="G13" s="20"/>
      <c r="H13" s="22"/>
      <c r="I13" s="22"/>
      <c r="J13" s="22"/>
      <c r="K13" s="20"/>
      <c r="L13" s="21"/>
      <c r="M13" s="20"/>
      <c r="N13" s="20"/>
      <c r="O13" s="58" t="s">
        <v>32</v>
      </c>
      <c r="P13" s="153" t="s">
        <v>100</v>
      </c>
      <c r="Q13" s="153"/>
      <c r="R13" s="40"/>
      <c r="S13" s="4"/>
      <c r="T13" s="97"/>
      <c r="U13" s="66"/>
      <c r="V13" s="67"/>
      <c r="W13" s="67"/>
      <c r="X13" s="67"/>
      <c r="Y13" s="67" t="s">
        <v>182</v>
      </c>
      <c r="Z13" s="67"/>
      <c r="AA13" s="67"/>
      <c r="AB13" s="67"/>
      <c r="AC13" s="67"/>
      <c r="AD13" s="68" t="s">
        <v>64</v>
      </c>
      <c r="AE13" s="100"/>
    </row>
    <row r="14" spans="1:31" ht="96" customHeight="1">
      <c r="A14" s="4"/>
      <c r="B14" s="33">
        <v>140</v>
      </c>
      <c r="C14" s="83" t="s">
        <v>179</v>
      </c>
      <c r="D14" s="34" t="s">
        <v>15</v>
      </c>
      <c r="E14" s="15"/>
      <c r="F14" s="20"/>
      <c r="G14" s="20"/>
      <c r="H14" s="20"/>
      <c r="I14" s="20"/>
      <c r="J14" s="20"/>
      <c r="K14" s="20"/>
      <c r="L14" s="20"/>
      <c r="M14" s="20"/>
      <c r="N14" s="20"/>
      <c r="O14" s="17"/>
      <c r="P14" s="39" t="s">
        <v>33</v>
      </c>
      <c r="Q14" s="78" t="s">
        <v>178</v>
      </c>
      <c r="R14" s="40">
        <v>400</v>
      </c>
      <c r="S14" s="4"/>
      <c r="T14" s="97"/>
      <c r="U14" s="97"/>
      <c r="V14" s="97"/>
      <c r="W14" s="97"/>
      <c r="X14" s="97"/>
      <c r="Y14" s="97"/>
      <c r="Z14" s="97"/>
      <c r="AA14" s="97"/>
      <c r="AB14" s="97"/>
      <c r="AC14" s="97"/>
      <c r="AD14" s="97"/>
      <c r="AE14" s="97"/>
    </row>
    <row r="15" spans="1:31" ht="30" customHeight="1">
      <c r="A15" s="4"/>
      <c r="B15" s="133" t="s">
        <v>36</v>
      </c>
      <c r="C15" s="134"/>
      <c r="D15" s="129" t="s">
        <v>38</v>
      </c>
      <c r="E15" s="130"/>
      <c r="F15" s="18"/>
      <c r="G15" s="18"/>
      <c r="H15" s="50" t="s">
        <v>6</v>
      </c>
      <c r="I15" s="18"/>
      <c r="J15" s="154" t="s">
        <v>4</v>
      </c>
      <c r="K15" s="154" t="s">
        <v>3</v>
      </c>
      <c r="L15" s="19"/>
      <c r="M15" s="159" t="s">
        <v>1</v>
      </c>
      <c r="N15" s="19"/>
      <c r="O15" s="120" t="s">
        <v>40</v>
      </c>
      <c r="P15" s="121"/>
      <c r="Q15" s="121"/>
      <c r="R15" s="122"/>
      <c r="S15" s="4"/>
      <c r="T15" s="97"/>
      <c r="U15" s="98">
        <v>2</v>
      </c>
      <c r="V15" s="98" t="s">
        <v>42</v>
      </c>
      <c r="W15" s="98">
        <v>0</v>
      </c>
      <c r="X15" s="98">
        <v>1</v>
      </c>
      <c r="Y15" s="99"/>
      <c r="Z15" s="99"/>
      <c r="AA15" s="97"/>
      <c r="AB15" s="97"/>
      <c r="AC15" s="97"/>
      <c r="AD15" s="97"/>
      <c r="AE15" s="97"/>
    </row>
    <row r="16" spans="1:31" ht="30" customHeight="1">
      <c r="A16" s="4"/>
      <c r="B16" s="135"/>
      <c r="C16" s="136"/>
      <c r="D16" s="131"/>
      <c r="E16" s="132"/>
      <c r="F16" s="26" t="s">
        <v>8</v>
      </c>
      <c r="G16" s="26" t="s">
        <v>7</v>
      </c>
      <c r="H16" s="146" t="s">
        <v>39</v>
      </c>
      <c r="I16" s="26" t="s">
        <v>5</v>
      </c>
      <c r="J16" s="118"/>
      <c r="K16" s="118"/>
      <c r="L16" s="27" t="s">
        <v>2</v>
      </c>
      <c r="M16" s="160"/>
      <c r="N16" s="28" t="s">
        <v>0</v>
      </c>
      <c r="O16" s="123"/>
      <c r="P16" s="124"/>
      <c r="Q16" s="124"/>
      <c r="R16" s="125"/>
      <c r="S16" s="4"/>
      <c r="T16" s="97"/>
      <c r="U16" s="98" t="s">
        <v>46</v>
      </c>
      <c r="V16" s="98" t="s">
        <v>44</v>
      </c>
      <c r="W16" s="98" t="s">
        <v>45</v>
      </c>
      <c r="X16" s="98" t="s">
        <v>47</v>
      </c>
      <c r="Y16" s="99"/>
      <c r="Z16" s="99"/>
      <c r="AA16" s="97"/>
      <c r="AB16" s="97"/>
      <c r="AC16" s="97"/>
      <c r="AD16" s="97"/>
      <c r="AE16" s="97"/>
    </row>
    <row r="17" spans="1:31" ht="60" customHeight="1">
      <c r="A17" s="4"/>
      <c r="B17" s="112" t="s">
        <v>37</v>
      </c>
      <c r="C17" s="113"/>
      <c r="D17" s="113"/>
      <c r="E17" s="114"/>
      <c r="F17" s="77" t="s">
        <v>180</v>
      </c>
      <c r="G17" s="77" t="s">
        <v>180</v>
      </c>
      <c r="H17" s="146"/>
      <c r="I17" s="77" t="s">
        <v>180</v>
      </c>
      <c r="J17" s="59"/>
      <c r="K17" s="25" t="s">
        <v>142</v>
      </c>
      <c r="L17" s="75" t="s">
        <v>180</v>
      </c>
      <c r="M17" s="51" t="s">
        <v>99</v>
      </c>
      <c r="N17" s="76" t="s">
        <v>180</v>
      </c>
      <c r="O17" s="123"/>
      <c r="P17" s="124"/>
      <c r="Q17" s="124"/>
      <c r="R17" s="125"/>
      <c r="S17" s="4"/>
      <c r="T17" s="97"/>
      <c r="U17" s="99"/>
      <c r="V17" s="99"/>
      <c r="W17" s="99"/>
      <c r="X17" s="99"/>
      <c r="Y17" s="99"/>
      <c r="Z17" s="99"/>
      <c r="AA17" s="97"/>
      <c r="AB17" s="97"/>
      <c r="AC17" s="97"/>
      <c r="AD17" s="97"/>
      <c r="AE17" s="97"/>
    </row>
    <row r="18" spans="1:31">
      <c r="A18" s="4"/>
      <c r="B18" s="115"/>
      <c r="C18" s="116"/>
      <c r="D18" s="116"/>
      <c r="E18" s="117"/>
      <c r="F18" s="8">
        <v>120</v>
      </c>
      <c r="G18" s="8">
        <v>100</v>
      </c>
      <c r="H18" s="8"/>
      <c r="I18" s="8">
        <v>100</v>
      </c>
      <c r="J18" s="9">
        <v>200</v>
      </c>
      <c r="K18" s="12"/>
      <c r="L18" s="12">
        <v>60</v>
      </c>
      <c r="M18" s="12"/>
      <c r="N18" s="2">
        <v>60</v>
      </c>
      <c r="O18" s="126"/>
      <c r="P18" s="127"/>
      <c r="Q18" s="127"/>
      <c r="R18" s="128"/>
      <c r="S18" s="4"/>
      <c r="T18" s="97"/>
      <c r="U18" s="97"/>
      <c r="V18" s="97"/>
      <c r="W18" s="97"/>
      <c r="X18" s="97"/>
      <c r="Y18" s="97"/>
      <c r="Z18" s="97"/>
      <c r="AA18" s="97"/>
      <c r="AB18" s="97"/>
      <c r="AC18" s="97"/>
      <c r="AD18" s="97"/>
      <c r="AE18" s="97"/>
    </row>
    <row r="19" spans="1:31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</row>
    <row r="20" spans="1:31" ht="409.5" customHeight="1">
      <c r="A20" s="97"/>
      <c r="B20" s="97"/>
      <c r="C20" s="97"/>
      <c r="D20" s="97"/>
      <c r="E20" s="97"/>
      <c r="F20" s="97"/>
      <c r="G20" s="97"/>
      <c r="H20" s="97"/>
      <c r="I20" s="97"/>
      <c r="J20" s="97"/>
      <c r="K20" s="97"/>
      <c r="L20" s="97"/>
      <c r="M20" s="97"/>
      <c r="N20" s="97"/>
      <c r="O20" s="97"/>
      <c r="P20" s="97"/>
      <c r="Q20" s="97"/>
      <c r="R20" s="97"/>
      <c r="S20" s="97"/>
      <c r="T20" s="97"/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97"/>
    </row>
    <row r="21" spans="1:31" ht="409.6" customHeight="1">
      <c r="H21" t="s">
        <v>48</v>
      </c>
      <c r="P21" t="s">
        <v>96</v>
      </c>
    </row>
    <row r="22" spans="1:31">
      <c r="B22" t="s">
        <v>153</v>
      </c>
      <c r="C22" t="s">
        <v>95</v>
      </c>
      <c r="D22" t="s">
        <v>97</v>
      </c>
      <c r="E22" t="s">
        <v>89</v>
      </c>
      <c r="F22" t="s">
        <v>90</v>
      </c>
      <c r="G22" t="s">
        <v>91</v>
      </c>
      <c r="H22" t="s">
        <v>92</v>
      </c>
      <c r="I22" t="s">
        <v>93</v>
      </c>
      <c r="J22" t="s">
        <v>94</v>
      </c>
      <c r="K22">
        <v>1</v>
      </c>
      <c r="L22">
        <v>2</v>
      </c>
      <c r="M22">
        <v>3</v>
      </c>
      <c r="N22">
        <v>4</v>
      </c>
      <c r="O22">
        <v>5</v>
      </c>
      <c r="P22" t="s">
        <v>48</v>
      </c>
      <c r="Q22" t="s">
        <v>49</v>
      </c>
      <c r="U22">
        <v>0</v>
      </c>
      <c r="V22">
        <v>8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</row>
    <row r="23" spans="1:31">
      <c r="C23" t="s">
        <v>98</v>
      </c>
      <c r="E23">
        <v>0</v>
      </c>
      <c r="F23" t="s">
        <v>52</v>
      </c>
      <c r="G23" s="41"/>
    </row>
    <row r="24" spans="1:31">
      <c r="C24">
        <v>3</v>
      </c>
      <c r="D24">
        <v>10498160</v>
      </c>
      <c r="E24">
        <v>1</v>
      </c>
      <c r="F24" s="42" t="s">
        <v>53</v>
      </c>
      <c r="G24" s="41">
        <v>60</v>
      </c>
      <c r="H24">
        <v>50</v>
      </c>
      <c r="I24">
        <v>50</v>
      </c>
      <c r="J24">
        <v>2</v>
      </c>
      <c r="K24">
        <v>10</v>
      </c>
      <c r="L24">
        <v>30</v>
      </c>
      <c r="M24">
        <v>90</v>
      </c>
      <c r="N24">
        <v>160</v>
      </c>
      <c r="O24">
        <v>250</v>
      </c>
      <c r="P24">
        <v>4</v>
      </c>
      <c r="Q24">
        <v>1</v>
      </c>
    </row>
    <row r="25" spans="1:31">
      <c r="C25" t="s">
        <v>98</v>
      </c>
      <c r="E25">
        <v>2</v>
      </c>
      <c r="F25" t="s">
        <v>54</v>
      </c>
      <c r="G25" s="41"/>
    </row>
    <row r="26" spans="1:31">
      <c r="C26">
        <v>3</v>
      </c>
      <c r="D26">
        <v>10498160</v>
      </c>
      <c r="E26">
        <v>3</v>
      </c>
      <c r="F26" s="42" t="s">
        <v>55</v>
      </c>
      <c r="G26" s="41">
        <v>60</v>
      </c>
      <c r="H26">
        <v>50</v>
      </c>
      <c r="I26">
        <v>50</v>
      </c>
      <c r="J26">
        <v>4</v>
      </c>
      <c r="K26">
        <v>20</v>
      </c>
      <c r="L26">
        <v>60</v>
      </c>
      <c r="M26">
        <v>180</v>
      </c>
      <c r="N26">
        <v>320</v>
      </c>
      <c r="O26">
        <v>450</v>
      </c>
      <c r="P26">
        <v>4</v>
      </c>
      <c r="Q26">
        <v>1</v>
      </c>
    </row>
    <row r="27" spans="1:31">
      <c r="C27" t="s">
        <v>98</v>
      </c>
      <c r="E27">
        <v>4</v>
      </c>
      <c r="F27" t="s">
        <v>56</v>
      </c>
      <c r="G27" s="41"/>
    </row>
    <row r="28" spans="1:31">
      <c r="C28">
        <v>2</v>
      </c>
      <c r="E28">
        <v>5</v>
      </c>
      <c r="F28" t="s">
        <v>57</v>
      </c>
      <c r="G28" s="41">
        <v>200</v>
      </c>
    </row>
    <row r="29" spans="1:31">
      <c r="C29">
        <v>2</v>
      </c>
      <c r="D29">
        <v>15261110</v>
      </c>
      <c r="E29">
        <v>6</v>
      </c>
      <c r="F29" s="43" t="s">
        <v>58</v>
      </c>
      <c r="G29" s="41">
        <v>100</v>
      </c>
      <c r="H29">
        <v>50</v>
      </c>
      <c r="I29">
        <v>50</v>
      </c>
      <c r="J29">
        <v>6</v>
      </c>
      <c r="K29">
        <v>30</v>
      </c>
      <c r="L29">
        <v>90</v>
      </c>
      <c r="M29">
        <v>270</v>
      </c>
      <c r="N29">
        <v>400</v>
      </c>
      <c r="O29">
        <v>550</v>
      </c>
      <c r="P29">
        <v>4</v>
      </c>
      <c r="Q29">
        <v>1</v>
      </c>
    </row>
    <row r="30" spans="1:31">
      <c r="C30" t="s">
        <v>98</v>
      </c>
      <c r="E30">
        <v>7</v>
      </c>
      <c r="F30" t="s">
        <v>59</v>
      </c>
      <c r="G30" s="41"/>
    </row>
    <row r="31" spans="1:31">
      <c r="C31">
        <v>2</v>
      </c>
      <c r="D31">
        <v>15261110</v>
      </c>
      <c r="E31">
        <v>8</v>
      </c>
      <c r="F31" s="43" t="s">
        <v>60</v>
      </c>
      <c r="G31" s="41">
        <v>100</v>
      </c>
      <c r="H31">
        <v>50</v>
      </c>
      <c r="I31">
        <v>50</v>
      </c>
      <c r="J31">
        <v>6</v>
      </c>
      <c r="K31">
        <v>30</v>
      </c>
      <c r="L31">
        <v>90</v>
      </c>
      <c r="M31">
        <v>270</v>
      </c>
      <c r="N31">
        <v>400</v>
      </c>
      <c r="O31">
        <v>550</v>
      </c>
      <c r="P31">
        <v>4</v>
      </c>
      <c r="Q31">
        <v>1</v>
      </c>
    </row>
    <row r="32" spans="1:31">
      <c r="C32">
        <v>2</v>
      </c>
      <c r="D32">
        <v>15261110</v>
      </c>
      <c r="E32">
        <v>9</v>
      </c>
      <c r="F32" s="43" t="s">
        <v>61</v>
      </c>
      <c r="G32" s="41">
        <v>120</v>
      </c>
      <c r="H32">
        <v>50</v>
      </c>
      <c r="I32">
        <v>50</v>
      </c>
      <c r="J32">
        <v>8</v>
      </c>
      <c r="K32">
        <v>40</v>
      </c>
      <c r="L32">
        <v>100</v>
      </c>
      <c r="M32">
        <v>300</v>
      </c>
      <c r="N32">
        <v>450</v>
      </c>
      <c r="O32">
        <v>600</v>
      </c>
      <c r="P32">
        <v>4</v>
      </c>
      <c r="Q32">
        <v>1</v>
      </c>
    </row>
    <row r="33" spans="3:17">
      <c r="C33" t="s">
        <v>98</v>
      </c>
      <c r="E33">
        <v>10</v>
      </c>
      <c r="F33" t="s">
        <v>62</v>
      </c>
      <c r="G33" s="41"/>
    </row>
    <row r="34" spans="3:17">
      <c r="C34">
        <v>1</v>
      </c>
      <c r="D34">
        <v>9634006</v>
      </c>
      <c r="E34">
        <v>11</v>
      </c>
      <c r="F34" s="44" t="s">
        <v>63</v>
      </c>
      <c r="G34" s="41">
        <v>140</v>
      </c>
      <c r="H34">
        <v>100</v>
      </c>
      <c r="I34">
        <v>100</v>
      </c>
      <c r="J34">
        <v>10</v>
      </c>
      <c r="K34">
        <v>50</v>
      </c>
      <c r="L34">
        <v>150</v>
      </c>
      <c r="M34">
        <v>450</v>
      </c>
      <c r="N34">
        <v>625</v>
      </c>
      <c r="O34">
        <v>750</v>
      </c>
      <c r="P34">
        <v>2</v>
      </c>
    </row>
    <row r="35" spans="3:17">
      <c r="C35">
        <v>4</v>
      </c>
      <c r="E35">
        <v>12</v>
      </c>
      <c r="F35" t="s">
        <v>64</v>
      </c>
      <c r="G35" s="41">
        <v>150</v>
      </c>
    </row>
    <row r="36" spans="3:17">
      <c r="C36">
        <v>1</v>
      </c>
      <c r="D36">
        <v>9634006</v>
      </c>
      <c r="E36">
        <v>13</v>
      </c>
      <c r="F36" s="44" t="s">
        <v>65</v>
      </c>
      <c r="G36" s="41">
        <v>140</v>
      </c>
      <c r="H36">
        <v>100</v>
      </c>
      <c r="I36">
        <v>100</v>
      </c>
      <c r="J36">
        <v>10</v>
      </c>
      <c r="K36">
        <v>50</v>
      </c>
      <c r="L36">
        <v>150</v>
      </c>
      <c r="M36">
        <v>450</v>
      </c>
      <c r="N36">
        <v>625</v>
      </c>
      <c r="O36">
        <v>750</v>
      </c>
      <c r="P36">
        <v>2</v>
      </c>
    </row>
    <row r="37" spans="3:17">
      <c r="C37">
        <v>1</v>
      </c>
      <c r="D37">
        <v>9634006</v>
      </c>
      <c r="E37">
        <v>14</v>
      </c>
      <c r="F37" s="44" t="s">
        <v>66</v>
      </c>
      <c r="G37" s="41">
        <v>160</v>
      </c>
      <c r="H37">
        <v>100</v>
      </c>
      <c r="I37">
        <v>100</v>
      </c>
      <c r="J37">
        <v>12</v>
      </c>
      <c r="K37">
        <v>60</v>
      </c>
      <c r="L37">
        <v>180</v>
      </c>
      <c r="M37">
        <v>500</v>
      </c>
      <c r="N37">
        <v>700</v>
      </c>
      <c r="O37">
        <v>900</v>
      </c>
      <c r="P37">
        <v>3</v>
      </c>
    </row>
    <row r="38" spans="3:17">
      <c r="C38">
        <v>3</v>
      </c>
      <c r="E38">
        <v>15</v>
      </c>
      <c r="F38" t="s">
        <v>67</v>
      </c>
      <c r="G38" s="41">
        <v>200</v>
      </c>
    </row>
    <row r="39" spans="3:17">
      <c r="C39">
        <v>2</v>
      </c>
      <c r="D39">
        <v>4626167</v>
      </c>
      <c r="E39">
        <v>16</v>
      </c>
      <c r="F39" s="45" t="s">
        <v>68</v>
      </c>
      <c r="G39" s="41">
        <v>180</v>
      </c>
      <c r="H39">
        <v>100</v>
      </c>
      <c r="I39">
        <v>100</v>
      </c>
      <c r="J39">
        <v>14</v>
      </c>
      <c r="K39">
        <v>70</v>
      </c>
      <c r="L39">
        <v>200</v>
      </c>
      <c r="M39">
        <v>550</v>
      </c>
      <c r="N39">
        <v>750</v>
      </c>
      <c r="O39">
        <v>950</v>
      </c>
      <c r="P39">
        <v>4</v>
      </c>
      <c r="Q39">
        <v>1</v>
      </c>
    </row>
    <row r="40" spans="3:17">
      <c r="C40" t="s">
        <v>98</v>
      </c>
      <c r="E40">
        <v>17</v>
      </c>
      <c r="F40" t="s">
        <v>54</v>
      </c>
      <c r="G40" s="41"/>
    </row>
    <row r="41" spans="3:17">
      <c r="C41">
        <v>2</v>
      </c>
      <c r="D41">
        <v>4626167</v>
      </c>
      <c r="E41">
        <v>18</v>
      </c>
      <c r="F41" s="45" t="s">
        <v>69</v>
      </c>
      <c r="G41" s="41">
        <v>180</v>
      </c>
      <c r="H41">
        <v>100</v>
      </c>
      <c r="I41">
        <v>100</v>
      </c>
      <c r="J41">
        <v>14</v>
      </c>
      <c r="K41">
        <v>70</v>
      </c>
      <c r="L41">
        <v>200</v>
      </c>
      <c r="M41">
        <v>550</v>
      </c>
      <c r="N41">
        <v>750</v>
      </c>
      <c r="O41">
        <v>950</v>
      </c>
      <c r="P41">
        <v>4</v>
      </c>
      <c r="Q41">
        <v>1</v>
      </c>
    </row>
    <row r="42" spans="3:17">
      <c r="C42">
        <v>2</v>
      </c>
      <c r="D42">
        <v>4626167</v>
      </c>
      <c r="E42">
        <v>19</v>
      </c>
      <c r="F42" s="45" t="s">
        <v>70</v>
      </c>
      <c r="G42" s="41">
        <v>200</v>
      </c>
      <c r="H42">
        <v>100</v>
      </c>
      <c r="I42">
        <v>100</v>
      </c>
      <c r="J42">
        <v>16</v>
      </c>
      <c r="K42">
        <v>80</v>
      </c>
      <c r="L42">
        <v>220</v>
      </c>
      <c r="M42">
        <v>600</v>
      </c>
      <c r="N42">
        <v>800</v>
      </c>
      <c r="O42">
        <v>1000</v>
      </c>
      <c r="P42">
        <v>4</v>
      </c>
      <c r="Q42">
        <v>1</v>
      </c>
    </row>
    <row r="43" spans="3:17">
      <c r="C43" t="s">
        <v>98</v>
      </c>
      <c r="E43">
        <v>20</v>
      </c>
      <c r="F43" t="s">
        <v>71</v>
      </c>
      <c r="G43" s="41"/>
    </row>
    <row r="44" spans="3:17">
      <c r="C44">
        <v>1</v>
      </c>
      <c r="D44">
        <v>255</v>
      </c>
      <c r="E44">
        <v>21</v>
      </c>
      <c r="F44" s="46" t="s">
        <v>72</v>
      </c>
      <c r="G44" s="41">
        <v>220</v>
      </c>
      <c r="H44">
        <v>150</v>
      </c>
      <c r="I44">
        <v>150</v>
      </c>
      <c r="J44">
        <v>18</v>
      </c>
      <c r="K44">
        <v>90</v>
      </c>
      <c r="L44">
        <v>250</v>
      </c>
      <c r="M44">
        <v>700</v>
      </c>
      <c r="N44">
        <v>875</v>
      </c>
      <c r="O44">
        <v>1050</v>
      </c>
    </row>
    <row r="45" spans="3:17">
      <c r="C45" t="s">
        <v>98</v>
      </c>
      <c r="E45">
        <v>22</v>
      </c>
      <c r="F45" t="s">
        <v>59</v>
      </c>
      <c r="G45" s="41"/>
    </row>
    <row r="46" spans="3:17">
      <c r="C46">
        <v>4</v>
      </c>
      <c r="D46">
        <v>255</v>
      </c>
      <c r="E46">
        <v>23</v>
      </c>
      <c r="F46" s="46" t="s">
        <v>73</v>
      </c>
      <c r="G46" s="41">
        <v>220</v>
      </c>
      <c r="H46">
        <v>150</v>
      </c>
      <c r="I46">
        <v>150</v>
      </c>
      <c r="J46">
        <v>18</v>
      </c>
      <c r="K46">
        <v>90</v>
      </c>
      <c r="L46">
        <v>250</v>
      </c>
      <c r="M46">
        <v>700</v>
      </c>
      <c r="N46">
        <v>875</v>
      </c>
      <c r="O46">
        <v>1050</v>
      </c>
    </row>
    <row r="47" spans="3:17">
      <c r="C47">
        <v>4</v>
      </c>
      <c r="D47">
        <v>255</v>
      </c>
      <c r="E47">
        <v>24</v>
      </c>
      <c r="F47" s="46" t="s">
        <v>74</v>
      </c>
      <c r="G47" s="41">
        <v>240</v>
      </c>
      <c r="H47">
        <v>150</v>
      </c>
      <c r="I47">
        <v>150</v>
      </c>
      <c r="J47">
        <v>20</v>
      </c>
      <c r="K47">
        <v>100</v>
      </c>
      <c r="L47">
        <v>300</v>
      </c>
      <c r="M47">
        <v>750</v>
      </c>
      <c r="N47">
        <v>925</v>
      </c>
      <c r="O47">
        <v>1100</v>
      </c>
    </row>
    <row r="48" spans="3:17">
      <c r="C48">
        <v>2</v>
      </c>
      <c r="E48">
        <v>25</v>
      </c>
      <c r="F48" t="s">
        <v>75</v>
      </c>
      <c r="G48" s="41">
        <v>200</v>
      </c>
    </row>
    <row r="49" spans="3:16">
      <c r="C49">
        <v>1</v>
      </c>
      <c r="D49">
        <v>65535</v>
      </c>
      <c r="E49">
        <v>26</v>
      </c>
      <c r="F49" s="47" t="s">
        <v>76</v>
      </c>
      <c r="G49" s="41">
        <v>260</v>
      </c>
      <c r="H49">
        <v>150</v>
      </c>
      <c r="I49">
        <v>150</v>
      </c>
      <c r="J49">
        <v>22</v>
      </c>
      <c r="K49">
        <v>110</v>
      </c>
      <c r="L49">
        <v>330</v>
      </c>
      <c r="M49">
        <v>800</v>
      </c>
      <c r="N49">
        <v>975</v>
      </c>
      <c r="O49">
        <v>1150</v>
      </c>
    </row>
    <row r="50" spans="3:16">
      <c r="C50">
        <v>3</v>
      </c>
      <c r="D50">
        <v>65535</v>
      </c>
      <c r="E50">
        <v>27</v>
      </c>
      <c r="F50" s="47" t="s">
        <v>77</v>
      </c>
      <c r="G50" s="41">
        <v>260</v>
      </c>
      <c r="H50">
        <v>150</v>
      </c>
      <c r="I50">
        <v>150</v>
      </c>
      <c r="J50">
        <v>22</v>
      </c>
      <c r="K50">
        <v>110</v>
      </c>
      <c r="L50">
        <v>330</v>
      </c>
      <c r="M50">
        <v>800</v>
      </c>
      <c r="N50">
        <v>975</v>
      </c>
      <c r="O50">
        <v>1150</v>
      </c>
    </row>
    <row r="51" spans="3:16">
      <c r="C51">
        <v>1</v>
      </c>
      <c r="E51">
        <v>28</v>
      </c>
      <c r="F51" t="s">
        <v>78</v>
      </c>
      <c r="G51" s="41">
        <v>150</v>
      </c>
    </row>
    <row r="52" spans="3:16">
      <c r="C52">
        <v>3</v>
      </c>
      <c r="D52">
        <v>65535</v>
      </c>
      <c r="E52">
        <v>29</v>
      </c>
      <c r="F52" s="47" t="s">
        <v>79</v>
      </c>
      <c r="G52" s="41">
        <v>280</v>
      </c>
      <c r="H52">
        <v>150</v>
      </c>
      <c r="I52">
        <v>150</v>
      </c>
      <c r="J52">
        <v>24</v>
      </c>
      <c r="K52">
        <v>120</v>
      </c>
      <c r="L52">
        <v>360</v>
      </c>
      <c r="M52">
        <v>850</v>
      </c>
      <c r="N52">
        <v>1025</v>
      </c>
      <c r="O52">
        <v>1200</v>
      </c>
    </row>
    <row r="53" spans="3:16">
      <c r="C53" t="s">
        <v>98</v>
      </c>
      <c r="E53">
        <v>30</v>
      </c>
      <c r="F53" t="s">
        <v>80</v>
      </c>
      <c r="G53" s="41"/>
    </row>
    <row r="54" spans="3:16">
      <c r="C54">
        <v>1</v>
      </c>
      <c r="D54">
        <v>5287936</v>
      </c>
      <c r="E54">
        <v>31</v>
      </c>
      <c r="F54" s="48" t="s">
        <v>81</v>
      </c>
      <c r="G54" s="41">
        <v>300</v>
      </c>
      <c r="H54">
        <v>200</v>
      </c>
      <c r="I54">
        <v>200</v>
      </c>
      <c r="J54">
        <v>26</v>
      </c>
      <c r="K54">
        <v>130</v>
      </c>
      <c r="L54">
        <v>390</v>
      </c>
      <c r="M54">
        <v>900</v>
      </c>
      <c r="N54">
        <v>1100</v>
      </c>
      <c r="O54">
        <v>1275</v>
      </c>
      <c r="P54">
        <v>1</v>
      </c>
    </row>
    <row r="55" spans="3:16">
      <c r="C55">
        <v>1</v>
      </c>
      <c r="D55">
        <v>5287936</v>
      </c>
      <c r="E55">
        <v>32</v>
      </c>
      <c r="F55" s="48" t="s">
        <v>82</v>
      </c>
      <c r="G55" s="41">
        <v>300</v>
      </c>
      <c r="H55">
        <v>200</v>
      </c>
      <c r="I55">
        <v>200</v>
      </c>
      <c r="J55">
        <v>26</v>
      </c>
      <c r="K55">
        <v>130</v>
      </c>
      <c r="L55">
        <v>390</v>
      </c>
      <c r="M55">
        <v>900</v>
      </c>
      <c r="N55">
        <v>1100</v>
      </c>
      <c r="O55">
        <v>1275</v>
      </c>
    </row>
    <row r="56" spans="3:16">
      <c r="C56" t="s">
        <v>98</v>
      </c>
      <c r="E56">
        <v>33</v>
      </c>
      <c r="F56" t="s">
        <v>54</v>
      </c>
      <c r="G56" s="41"/>
    </row>
    <row r="57" spans="3:16">
      <c r="C57">
        <v>1</v>
      </c>
      <c r="D57">
        <v>5287936</v>
      </c>
      <c r="E57">
        <v>34</v>
      </c>
      <c r="F57" s="48" t="s">
        <v>83</v>
      </c>
      <c r="G57" s="41">
        <v>320</v>
      </c>
      <c r="H57">
        <v>200</v>
      </c>
      <c r="I57">
        <v>200</v>
      </c>
      <c r="J57">
        <v>28</v>
      </c>
      <c r="K57">
        <v>150</v>
      </c>
      <c r="L57">
        <v>450</v>
      </c>
      <c r="M57">
        <v>1000</v>
      </c>
      <c r="N57">
        <v>1200</v>
      </c>
      <c r="O57">
        <v>1400</v>
      </c>
    </row>
    <row r="58" spans="3:16">
      <c r="C58">
        <v>1</v>
      </c>
      <c r="E58">
        <v>35</v>
      </c>
      <c r="F58" t="s">
        <v>84</v>
      </c>
      <c r="G58" s="41">
        <v>200</v>
      </c>
    </row>
    <row r="59" spans="3:16">
      <c r="C59" t="s">
        <v>98</v>
      </c>
      <c r="E59">
        <v>36</v>
      </c>
      <c r="F59" t="s">
        <v>59</v>
      </c>
      <c r="G59" s="41"/>
    </row>
    <row r="60" spans="3:16">
      <c r="C60">
        <v>1</v>
      </c>
      <c r="D60">
        <v>12611584</v>
      </c>
      <c r="E60">
        <v>37</v>
      </c>
      <c r="F60" s="49" t="s">
        <v>85</v>
      </c>
      <c r="G60" s="41">
        <v>350</v>
      </c>
      <c r="H60">
        <v>200</v>
      </c>
      <c r="I60">
        <v>200</v>
      </c>
      <c r="J60">
        <v>35</v>
      </c>
      <c r="K60">
        <v>175</v>
      </c>
      <c r="L60">
        <v>500</v>
      </c>
      <c r="M60">
        <v>1100</v>
      </c>
      <c r="N60">
        <v>1300</v>
      </c>
      <c r="O60">
        <v>1500</v>
      </c>
      <c r="P60">
        <v>1</v>
      </c>
    </row>
    <row r="61" spans="3:16">
      <c r="C61" t="s">
        <v>98</v>
      </c>
      <c r="E61">
        <v>38</v>
      </c>
      <c r="F61" t="s">
        <v>86</v>
      </c>
      <c r="G61" s="41"/>
    </row>
    <row r="62" spans="3:16">
      <c r="C62">
        <v>1</v>
      </c>
      <c r="D62">
        <v>12611584</v>
      </c>
      <c r="E62">
        <v>39</v>
      </c>
      <c r="F62" s="49" t="s">
        <v>87</v>
      </c>
      <c r="G62" s="41">
        <v>400</v>
      </c>
      <c r="H62">
        <v>200</v>
      </c>
      <c r="I62">
        <v>200</v>
      </c>
      <c r="J62">
        <v>50</v>
      </c>
      <c r="K62">
        <v>200</v>
      </c>
      <c r="L62">
        <v>600</v>
      </c>
      <c r="M62">
        <v>1400</v>
      </c>
      <c r="N62">
        <v>1700</v>
      </c>
      <c r="O62">
        <v>2000</v>
      </c>
      <c r="P62">
        <v>1</v>
      </c>
    </row>
    <row r="63" spans="3:16">
      <c r="C63" t="s">
        <v>98</v>
      </c>
      <c r="E63">
        <v>40</v>
      </c>
      <c r="F63" t="s">
        <v>88</v>
      </c>
      <c r="G63" s="41"/>
    </row>
    <row r="65" spans="6:10">
      <c r="F65" s="69" t="s">
        <v>156</v>
      </c>
      <c r="G65" s="69" t="s">
        <v>161</v>
      </c>
      <c r="H65" s="104" t="s">
        <v>168</v>
      </c>
      <c r="I65" s="104" t="s">
        <v>169</v>
      </c>
      <c r="J65" s="104" t="s">
        <v>167</v>
      </c>
    </row>
    <row r="66" spans="6:10" ht="28.5">
      <c r="F66" s="85" t="s">
        <v>154</v>
      </c>
      <c r="G66" s="85" t="s">
        <v>43</v>
      </c>
      <c r="H66">
        <v>65</v>
      </c>
      <c r="J66">
        <f>COUNTIF($W$6:$W$12,G66)</f>
        <v>0</v>
      </c>
    </row>
    <row r="67" spans="6:10" ht="28.5">
      <c r="F67" s="85" t="s">
        <v>155</v>
      </c>
      <c r="G67" s="85" t="s">
        <v>41</v>
      </c>
      <c r="H67">
        <v>73</v>
      </c>
      <c r="I67">
        <v>10</v>
      </c>
      <c r="J67">
        <f t="shared" ref="J67:J73" si="0">COUNTIF($W$6:$W$12,G67)</f>
        <v>1</v>
      </c>
    </row>
    <row r="68" spans="6:10" ht="28.5">
      <c r="G68" s="85" t="s">
        <v>42</v>
      </c>
      <c r="H68">
        <v>74</v>
      </c>
      <c r="I68">
        <v>9</v>
      </c>
      <c r="J68">
        <f t="shared" si="0"/>
        <v>1</v>
      </c>
    </row>
    <row r="69" spans="6:10" ht="28.5">
      <c r="G69" s="85" t="s">
        <v>35</v>
      </c>
      <c r="H69">
        <v>64</v>
      </c>
      <c r="I69">
        <v>11</v>
      </c>
      <c r="J69">
        <f t="shared" si="0"/>
        <v>1</v>
      </c>
    </row>
    <row r="70" spans="6:10" ht="28.5">
      <c r="G70" s="85" t="s">
        <v>165</v>
      </c>
      <c r="H70">
        <v>61</v>
      </c>
      <c r="I70">
        <v>8</v>
      </c>
      <c r="J70">
        <f t="shared" si="0"/>
        <v>1</v>
      </c>
    </row>
    <row r="71" spans="6:10" ht="28.5">
      <c r="G71" s="85" t="s">
        <v>164</v>
      </c>
      <c r="H71">
        <v>67</v>
      </c>
      <c r="J71">
        <f t="shared" si="0"/>
        <v>0</v>
      </c>
    </row>
    <row r="72" spans="6:10" ht="28.5">
      <c r="G72" s="85" t="s">
        <v>162</v>
      </c>
      <c r="H72">
        <v>63</v>
      </c>
      <c r="J72">
        <f t="shared" si="0"/>
        <v>0</v>
      </c>
    </row>
    <row r="73" spans="6:10" ht="28.5">
      <c r="G73" s="85" t="s">
        <v>163</v>
      </c>
      <c r="H73">
        <v>66</v>
      </c>
      <c r="J73">
        <f t="shared" si="0"/>
        <v>0</v>
      </c>
    </row>
    <row r="74" spans="6:10" ht="28.5">
      <c r="G74" s="85"/>
    </row>
    <row r="75" spans="6:10" ht="28.5">
      <c r="G75" s="85"/>
    </row>
  </sheetData>
  <sortState ref="G66:G73">
    <sortCondition ref="G66"/>
  </sortState>
  <dataConsolidate/>
  <mergeCells count="44">
    <mergeCell ref="Z6:AB6"/>
    <mergeCell ref="Z8:AB8"/>
    <mergeCell ref="Z10:AB10"/>
    <mergeCell ref="Z12:AB12"/>
    <mergeCell ref="D8:E8"/>
    <mergeCell ref="X12:Y12"/>
    <mergeCell ref="U12:V12"/>
    <mergeCell ref="X6:Y6"/>
    <mergeCell ref="X8:Y8"/>
    <mergeCell ref="X10:Y10"/>
    <mergeCell ref="O8:P8"/>
    <mergeCell ref="U10:V10"/>
    <mergeCell ref="U8:V8"/>
    <mergeCell ref="U6:V6"/>
    <mergeCell ref="D13:E13"/>
    <mergeCell ref="P11:Q11"/>
    <mergeCell ref="P13:Q13"/>
    <mergeCell ref="J15:J16"/>
    <mergeCell ref="D10:E10"/>
    <mergeCell ref="O10:P10"/>
    <mergeCell ref="M15:M16"/>
    <mergeCell ref="K15:K16"/>
    <mergeCell ref="B17:E18"/>
    <mergeCell ref="O2:R5"/>
    <mergeCell ref="O15:R18"/>
    <mergeCell ref="D15:E16"/>
    <mergeCell ref="B15:C16"/>
    <mergeCell ref="L12:M12"/>
    <mergeCell ref="L11:M11"/>
    <mergeCell ref="G10:M10"/>
    <mergeCell ref="G8:H8"/>
    <mergeCell ref="G7:H7"/>
    <mergeCell ref="K8:M8"/>
    <mergeCell ref="K9:M9"/>
    <mergeCell ref="K7:M7"/>
    <mergeCell ref="H16:H17"/>
    <mergeCell ref="M4:M5"/>
    <mergeCell ref="G3:G4"/>
    <mergeCell ref="Z4:AB4"/>
    <mergeCell ref="X4:Y4"/>
    <mergeCell ref="U4:V4"/>
    <mergeCell ref="B2:E4"/>
    <mergeCell ref="B5:E5"/>
    <mergeCell ref="J4:J5"/>
  </mergeCells>
  <dataValidations count="2">
    <dataValidation type="list" allowBlank="1" showInputMessage="1" showErrorMessage="1" sqref="Z6:AB6 Z8:AB8 Z10:AB10 Z12:AB12">
      <formula1>$F$66:$F$67</formula1>
    </dataValidation>
    <dataValidation type="list" allowBlank="1" showInputMessage="1" showErrorMessage="1" sqref="W6 W8 W10 W12">
      <formula1>$G$66:$G$73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7:AD62"/>
  <sheetViews>
    <sheetView zoomScale="85" zoomScaleNormal="85" workbookViewId="0">
      <selection activeCell="F8" sqref="F8"/>
    </sheetView>
  </sheetViews>
  <sheetFormatPr defaultRowHeight="15"/>
  <cols>
    <col min="12" max="14" width="18.28515625" customWidth="1"/>
  </cols>
  <sheetData>
    <row r="7" spans="11:30">
      <c r="K7" s="84"/>
      <c r="L7" s="84"/>
      <c r="M7" s="84"/>
    </row>
    <row r="8" spans="11:30" ht="87.75">
      <c r="K8" s="72"/>
      <c r="L8" s="72"/>
      <c r="M8" s="72"/>
    </row>
    <row r="9" spans="11:30">
      <c r="K9" s="84"/>
      <c r="L9" s="84"/>
      <c r="M9" s="84"/>
    </row>
    <row r="10" spans="11:30" ht="26.25">
      <c r="U10" s="73"/>
      <c r="V10" s="73"/>
      <c r="W10" s="73"/>
      <c r="X10" s="73"/>
      <c r="Y10" s="73"/>
      <c r="Z10" s="73"/>
      <c r="AA10" s="73"/>
      <c r="AB10" s="73"/>
      <c r="AC10" s="73"/>
      <c r="AD10" s="73"/>
    </row>
    <row r="12" spans="11:30" ht="28.5">
      <c r="U12" s="74"/>
      <c r="V12" s="74"/>
      <c r="W12" s="74"/>
      <c r="X12" s="74"/>
      <c r="Y12" s="74"/>
      <c r="Z12" s="74"/>
      <c r="AA12" s="74"/>
      <c r="AB12" s="74"/>
      <c r="AC12" s="74"/>
      <c r="AD12" s="74"/>
    </row>
    <row r="18" spans="1:9" ht="96" customHeight="1"/>
    <row r="19" spans="1:9" ht="96" customHeight="1"/>
    <row r="26" spans="1:9">
      <c r="A26" t="s">
        <v>54</v>
      </c>
    </row>
    <row r="27" spans="1:9">
      <c r="A27" s="69" t="s">
        <v>101</v>
      </c>
      <c r="B27" s="69" t="s">
        <v>138</v>
      </c>
      <c r="C27" s="69" t="s">
        <v>102</v>
      </c>
      <c r="D27" s="69" t="s">
        <v>108</v>
      </c>
      <c r="E27" s="69" t="s">
        <v>106</v>
      </c>
      <c r="F27" s="71" t="s">
        <v>107</v>
      </c>
      <c r="G27" s="71" t="s">
        <v>88</v>
      </c>
      <c r="H27" s="71" t="s">
        <v>119</v>
      </c>
      <c r="I27" s="71" t="s">
        <v>120</v>
      </c>
    </row>
    <row r="28" spans="1:9">
      <c r="A28">
        <v>0</v>
      </c>
      <c r="B28">
        <v>1</v>
      </c>
      <c r="C28" t="s">
        <v>103</v>
      </c>
      <c r="D28">
        <v>0</v>
      </c>
      <c r="E28" t="s">
        <v>98</v>
      </c>
      <c r="F28" t="s">
        <v>98</v>
      </c>
      <c r="G28" t="s">
        <v>98</v>
      </c>
      <c r="H28" t="s">
        <v>98</v>
      </c>
      <c r="I28" t="s">
        <v>98</v>
      </c>
    </row>
    <row r="29" spans="1:9">
      <c r="A29">
        <v>1</v>
      </c>
      <c r="B29">
        <v>1</v>
      </c>
      <c r="C29" t="s">
        <v>104</v>
      </c>
      <c r="D29" t="s">
        <v>98</v>
      </c>
      <c r="E29">
        <v>200</v>
      </c>
      <c r="F29" t="s">
        <v>98</v>
      </c>
      <c r="G29" t="s">
        <v>98</v>
      </c>
      <c r="H29" t="s">
        <v>98</v>
      </c>
      <c r="I29" t="s">
        <v>98</v>
      </c>
    </row>
    <row r="30" spans="1:9">
      <c r="A30">
        <v>2</v>
      </c>
      <c r="B30">
        <v>1</v>
      </c>
      <c r="C30" t="s">
        <v>105</v>
      </c>
      <c r="D30" t="s">
        <v>98</v>
      </c>
      <c r="E30">
        <v>150</v>
      </c>
      <c r="F30">
        <v>-50</v>
      </c>
      <c r="G30" t="s">
        <v>98</v>
      </c>
      <c r="H30" t="s">
        <v>98</v>
      </c>
      <c r="I30" t="s">
        <v>98</v>
      </c>
    </row>
    <row r="31" spans="1:9">
      <c r="A31">
        <v>3</v>
      </c>
      <c r="B31">
        <v>1</v>
      </c>
      <c r="C31" t="s">
        <v>109</v>
      </c>
      <c r="D31" t="s">
        <v>98</v>
      </c>
      <c r="E31">
        <v>-50</v>
      </c>
      <c r="F31" t="s">
        <v>98</v>
      </c>
      <c r="G31" t="s">
        <v>98</v>
      </c>
      <c r="H31" t="s">
        <v>98</v>
      </c>
      <c r="I31" t="s">
        <v>98</v>
      </c>
    </row>
    <row r="32" spans="1:9">
      <c r="A32">
        <v>4</v>
      </c>
      <c r="B32">
        <v>0</v>
      </c>
      <c r="C32" t="s">
        <v>110</v>
      </c>
      <c r="D32" t="s">
        <v>98</v>
      </c>
      <c r="E32">
        <v>45</v>
      </c>
      <c r="F32" t="s">
        <v>98</v>
      </c>
      <c r="G32" t="s">
        <v>98</v>
      </c>
      <c r="H32" t="s">
        <v>98</v>
      </c>
      <c r="I32" t="s">
        <v>98</v>
      </c>
    </row>
    <row r="33" spans="1:9">
      <c r="A33">
        <v>5</v>
      </c>
      <c r="B33">
        <v>1</v>
      </c>
      <c r="C33" t="s">
        <v>111</v>
      </c>
      <c r="D33" t="s">
        <v>98</v>
      </c>
      <c r="E33" t="s">
        <v>98</v>
      </c>
      <c r="F33" t="s">
        <v>98</v>
      </c>
      <c r="G33">
        <v>-1</v>
      </c>
      <c r="H33" t="s">
        <v>98</v>
      </c>
      <c r="I33" t="s">
        <v>98</v>
      </c>
    </row>
    <row r="34" spans="1:9">
      <c r="A34">
        <v>6</v>
      </c>
      <c r="B34">
        <v>1</v>
      </c>
      <c r="C34" t="s">
        <v>112</v>
      </c>
      <c r="D34">
        <v>40</v>
      </c>
      <c r="E34" t="s">
        <v>98</v>
      </c>
      <c r="F34" t="s">
        <v>98</v>
      </c>
      <c r="G34" t="s">
        <v>98</v>
      </c>
      <c r="H34" t="s">
        <v>98</v>
      </c>
      <c r="I34" t="s">
        <v>98</v>
      </c>
    </row>
    <row r="35" spans="1:9">
      <c r="A35">
        <v>7</v>
      </c>
      <c r="B35">
        <v>1</v>
      </c>
      <c r="C35" t="s">
        <v>113</v>
      </c>
      <c r="D35" t="s">
        <v>98</v>
      </c>
      <c r="E35">
        <v>20</v>
      </c>
      <c r="F35" t="s">
        <v>98</v>
      </c>
      <c r="G35" t="s">
        <v>98</v>
      </c>
      <c r="H35" t="s">
        <v>98</v>
      </c>
      <c r="I35" t="s">
        <v>98</v>
      </c>
    </row>
    <row r="36" spans="1:9">
      <c r="A36">
        <v>8</v>
      </c>
      <c r="B36">
        <v>1</v>
      </c>
      <c r="C36" t="s">
        <v>114</v>
      </c>
      <c r="D36" t="s">
        <v>98</v>
      </c>
      <c r="E36">
        <v>100</v>
      </c>
      <c r="F36" t="s">
        <v>98</v>
      </c>
      <c r="G36" t="s">
        <v>98</v>
      </c>
      <c r="H36" t="s">
        <v>98</v>
      </c>
      <c r="I36" t="s">
        <v>98</v>
      </c>
    </row>
    <row r="37" spans="1:9">
      <c r="A37">
        <v>9</v>
      </c>
      <c r="B37">
        <v>1</v>
      </c>
      <c r="C37" t="s">
        <v>115</v>
      </c>
      <c r="D37" t="s">
        <v>98</v>
      </c>
      <c r="E37">
        <v>-100</v>
      </c>
      <c r="F37" t="s">
        <v>98</v>
      </c>
      <c r="G37" t="s">
        <v>98</v>
      </c>
      <c r="H37" t="s">
        <v>98</v>
      </c>
      <c r="I37" t="s">
        <v>98</v>
      </c>
    </row>
    <row r="38" spans="1:9">
      <c r="A38">
        <v>10</v>
      </c>
      <c r="B38">
        <v>1</v>
      </c>
      <c r="C38" t="s">
        <v>116</v>
      </c>
      <c r="D38" t="s">
        <v>98</v>
      </c>
      <c r="E38">
        <v>-150</v>
      </c>
      <c r="F38" t="s">
        <v>98</v>
      </c>
      <c r="G38" t="s">
        <v>98</v>
      </c>
      <c r="H38" t="s">
        <v>98</v>
      </c>
      <c r="I38" t="s">
        <v>98</v>
      </c>
    </row>
    <row r="39" spans="1:9">
      <c r="A39">
        <v>11</v>
      </c>
      <c r="B39">
        <v>1</v>
      </c>
      <c r="C39" t="s">
        <v>117</v>
      </c>
      <c r="D39" t="s">
        <v>98</v>
      </c>
      <c r="E39">
        <v>25</v>
      </c>
      <c r="F39" t="s">
        <v>98</v>
      </c>
      <c r="G39" t="s">
        <v>98</v>
      </c>
      <c r="H39" t="s">
        <v>98</v>
      </c>
      <c r="I39" t="s">
        <v>98</v>
      </c>
    </row>
    <row r="40" spans="1:9">
      <c r="A40">
        <v>12</v>
      </c>
      <c r="B40">
        <v>1</v>
      </c>
      <c r="C40" t="s">
        <v>118</v>
      </c>
      <c r="D40" t="s">
        <v>98</v>
      </c>
      <c r="E40">
        <v>10</v>
      </c>
      <c r="F40" t="s">
        <v>98</v>
      </c>
      <c r="G40" t="s">
        <v>98</v>
      </c>
      <c r="H40" t="s">
        <v>98</v>
      </c>
      <c r="I40" t="s">
        <v>98</v>
      </c>
    </row>
    <row r="41" spans="1:9">
      <c r="A41">
        <v>13</v>
      </c>
      <c r="B41">
        <v>1</v>
      </c>
      <c r="C41" t="s">
        <v>121</v>
      </c>
      <c r="D41" t="s">
        <v>98</v>
      </c>
      <c r="E41" t="s">
        <v>98</v>
      </c>
      <c r="F41" t="s">
        <v>98</v>
      </c>
      <c r="G41" t="s">
        <v>98</v>
      </c>
      <c r="H41">
        <v>40</v>
      </c>
      <c r="I41">
        <v>115</v>
      </c>
    </row>
    <row r="42" spans="1:9">
      <c r="A42">
        <v>14</v>
      </c>
      <c r="B42">
        <v>1</v>
      </c>
      <c r="C42" t="s">
        <v>122</v>
      </c>
      <c r="D42" t="s">
        <v>98</v>
      </c>
      <c r="E42">
        <v>100</v>
      </c>
      <c r="F42" t="s">
        <v>98</v>
      </c>
      <c r="G42" t="s">
        <v>98</v>
      </c>
      <c r="H42" t="s">
        <v>98</v>
      </c>
      <c r="I42" t="s">
        <v>98</v>
      </c>
    </row>
    <row r="43" spans="1:9">
      <c r="A43" t="s">
        <v>59</v>
      </c>
    </row>
    <row r="44" spans="1:9">
      <c r="A44" s="69" t="s">
        <v>101</v>
      </c>
      <c r="B44" s="69" t="s">
        <v>138</v>
      </c>
      <c r="C44" s="69" t="s">
        <v>102</v>
      </c>
      <c r="D44" s="69" t="s">
        <v>108</v>
      </c>
      <c r="E44" s="69" t="s">
        <v>106</v>
      </c>
      <c r="F44" s="71" t="s">
        <v>107</v>
      </c>
      <c r="G44" s="71" t="s">
        <v>88</v>
      </c>
      <c r="H44" s="71" t="s">
        <v>119</v>
      </c>
      <c r="I44" s="71" t="s">
        <v>120</v>
      </c>
    </row>
    <row r="45" spans="1:9">
      <c r="A45">
        <v>0</v>
      </c>
      <c r="B45" s="70">
        <v>1</v>
      </c>
      <c r="C45" t="s">
        <v>123</v>
      </c>
      <c r="D45">
        <v>11</v>
      </c>
      <c r="E45" t="s">
        <v>98</v>
      </c>
      <c r="F45" t="s">
        <v>98</v>
      </c>
      <c r="G45" t="s">
        <v>98</v>
      </c>
      <c r="H45" t="s">
        <v>98</v>
      </c>
      <c r="I45" t="s">
        <v>98</v>
      </c>
    </row>
    <row r="46" spans="1:9">
      <c r="A46">
        <v>1</v>
      </c>
      <c r="B46" s="70">
        <v>1</v>
      </c>
      <c r="C46" t="s">
        <v>124</v>
      </c>
      <c r="D46">
        <v>24</v>
      </c>
      <c r="E46" t="s">
        <v>98</v>
      </c>
      <c r="F46" t="s">
        <v>98</v>
      </c>
      <c r="G46" t="s">
        <v>98</v>
      </c>
      <c r="H46" t="s">
        <v>98</v>
      </c>
      <c r="I46" t="s">
        <v>98</v>
      </c>
    </row>
    <row r="47" spans="1:9">
      <c r="A47">
        <v>2</v>
      </c>
      <c r="B47" s="70">
        <v>1</v>
      </c>
      <c r="C47" t="s">
        <v>103</v>
      </c>
      <c r="D47">
        <v>0</v>
      </c>
      <c r="E47" t="s">
        <v>98</v>
      </c>
      <c r="F47" t="s">
        <v>98</v>
      </c>
      <c r="G47" t="s">
        <v>98</v>
      </c>
      <c r="H47" t="s">
        <v>98</v>
      </c>
      <c r="I47" t="s">
        <v>98</v>
      </c>
    </row>
    <row r="48" spans="1:9">
      <c r="A48">
        <v>3</v>
      </c>
      <c r="B48" s="70">
        <v>0</v>
      </c>
      <c r="C48" t="s">
        <v>125</v>
      </c>
      <c r="D48" t="s">
        <v>128</v>
      </c>
      <c r="E48" t="s">
        <v>98</v>
      </c>
      <c r="F48" t="s">
        <v>98</v>
      </c>
      <c r="G48" t="s">
        <v>98</v>
      </c>
      <c r="H48" t="s">
        <v>98</v>
      </c>
      <c r="I48" t="s">
        <v>98</v>
      </c>
    </row>
    <row r="49" spans="1:9">
      <c r="A49">
        <v>4</v>
      </c>
      <c r="B49" s="70">
        <v>0</v>
      </c>
      <c r="C49" t="s">
        <v>126</v>
      </c>
      <c r="D49" t="s">
        <v>129</v>
      </c>
      <c r="E49" t="s">
        <v>98</v>
      </c>
      <c r="F49" t="s">
        <v>98</v>
      </c>
      <c r="G49" t="s">
        <v>98</v>
      </c>
      <c r="H49" t="s">
        <v>98</v>
      </c>
      <c r="I49" t="s">
        <v>98</v>
      </c>
    </row>
    <row r="50" spans="1:9">
      <c r="A50">
        <v>5</v>
      </c>
      <c r="B50" s="70">
        <v>0</v>
      </c>
      <c r="C50" t="s">
        <v>127</v>
      </c>
      <c r="D50">
        <v>39</v>
      </c>
      <c r="E50" t="s">
        <v>98</v>
      </c>
      <c r="F50" t="s">
        <v>98</v>
      </c>
      <c r="G50" t="s">
        <v>98</v>
      </c>
      <c r="H50" t="s">
        <v>98</v>
      </c>
      <c r="I50" t="s">
        <v>98</v>
      </c>
    </row>
    <row r="51" spans="1:9">
      <c r="A51">
        <v>6</v>
      </c>
      <c r="B51" s="70">
        <v>0</v>
      </c>
      <c r="C51" t="s">
        <v>130</v>
      </c>
      <c r="D51" t="s">
        <v>98</v>
      </c>
      <c r="E51">
        <v>50</v>
      </c>
      <c r="F51" t="s">
        <v>98</v>
      </c>
      <c r="G51" t="s">
        <v>98</v>
      </c>
      <c r="H51" t="s">
        <v>98</v>
      </c>
      <c r="I51" t="s">
        <v>98</v>
      </c>
    </row>
    <row r="52" spans="1:9">
      <c r="A52">
        <v>7</v>
      </c>
      <c r="B52" s="70">
        <v>0</v>
      </c>
      <c r="C52" t="s">
        <v>131</v>
      </c>
      <c r="D52" t="s">
        <v>98</v>
      </c>
      <c r="E52">
        <v>-50</v>
      </c>
      <c r="F52" t="s">
        <v>98</v>
      </c>
      <c r="G52" t="s">
        <v>98</v>
      </c>
      <c r="H52" t="s">
        <v>98</v>
      </c>
      <c r="I52" t="s">
        <v>98</v>
      </c>
    </row>
    <row r="53" spans="1:9">
      <c r="A53">
        <v>8</v>
      </c>
      <c r="B53" s="70">
        <v>0</v>
      </c>
      <c r="C53" t="s">
        <v>111</v>
      </c>
      <c r="D53" t="s">
        <v>98</v>
      </c>
      <c r="E53" t="s">
        <v>98</v>
      </c>
      <c r="F53" t="s">
        <v>98</v>
      </c>
      <c r="G53">
        <v>-1</v>
      </c>
      <c r="H53" t="s">
        <v>98</v>
      </c>
      <c r="I53" t="s">
        <v>98</v>
      </c>
    </row>
    <row r="54" spans="1:9">
      <c r="A54">
        <v>9</v>
      </c>
      <c r="B54" s="70">
        <v>0</v>
      </c>
      <c r="C54" t="s">
        <v>132</v>
      </c>
      <c r="D54">
        <v>-3</v>
      </c>
      <c r="E54" t="s">
        <v>98</v>
      </c>
      <c r="F54" t="s">
        <v>98</v>
      </c>
      <c r="G54" t="s">
        <v>98</v>
      </c>
      <c r="H54" t="s">
        <v>98</v>
      </c>
      <c r="I54" t="s">
        <v>98</v>
      </c>
    </row>
    <row r="55" spans="1:9">
      <c r="A55">
        <v>10</v>
      </c>
      <c r="B55" s="70">
        <v>0</v>
      </c>
      <c r="C55" t="s">
        <v>133</v>
      </c>
      <c r="D55">
        <v>40</v>
      </c>
      <c r="E55" t="s">
        <v>98</v>
      </c>
      <c r="F55" t="s">
        <v>98</v>
      </c>
      <c r="G55" t="s">
        <v>98</v>
      </c>
      <c r="H55" t="s">
        <v>98</v>
      </c>
      <c r="I55" t="s">
        <v>98</v>
      </c>
    </row>
    <row r="56" spans="1:9">
      <c r="A56">
        <v>11</v>
      </c>
      <c r="B56" s="70">
        <v>0</v>
      </c>
      <c r="C56" t="s">
        <v>134</v>
      </c>
      <c r="D56" t="s">
        <v>98</v>
      </c>
      <c r="E56" t="s">
        <v>98</v>
      </c>
      <c r="F56" t="s">
        <v>98</v>
      </c>
      <c r="G56" t="s">
        <v>98</v>
      </c>
      <c r="H56">
        <v>25</v>
      </c>
      <c r="I56">
        <v>100</v>
      </c>
    </row>
    <row r="57" spans="1:9">
      <c r="A57">
        <v>12</v>
      </c>
      <c r="B57" s="70">
        <v>0</v>
      </c>
      <c r="C57" t="s">
        <v>135</v>
      </c>
      <c r="D57" t="s">
        <v>98</v>
      </c>
      <c r="E57">
        <v>-15</v>
      </c>
      <c r="F57" t="s">
        <v>98</v>
      </c>
      <c r="G57" t="s">
        <v>98</v>
      </c>
      <c r="H57" t="s">
        <v>98</v>
      </c>
      <c r="I57" t="s">
        <v>98</v>
      </c>
    </row>
    <row r="58" spans="1:9">
      <c r="A58">
        <v>13</v>
      </c>
      <c r="B58" s="70">
        <v>0</v>
      </c>
      <c r="C58" t="s">
        <v>136</v>
      </c>
      <c r="D58">
        <v>5</v>
      </c>
      <c r="E58" t="s">
        <v>98</v>
      </c>
      <c r="F58" t="s">
        <v>98</v>
      </c>
      <c r="G58" t="s">
        <v>98</v>
      </c>
      <c r="H58" t="s">
        <v>98</v>
      </c>
      <c r="I58" t="s">
        <v>98</v>
      </c>
    </row>
    <row r="59" spans="1:9">
      <c r="A59">
        <v>14</v>
      </c>
      <c r="B59" s="70">
        <v>1</v>
      </c>
      <c r="C59" t="s">
        <v>137</v>
      </c>
      <c r="D59" t="s">
        <v>98</v>
      </c>
      <c r="E59">
        <v>150</v>
      </c>
      <c r="F59" t="s">
        <v>98</v>
      </c>
      <c r="G59" t="s">
        <v>98</v>
      </c>
      <c r="H59" t="s">
        <v>98</v>
      </c>
      <c r="I59" t="s">
        <v>98</v>
      </c>
    </row>
    <row r="61" spans="1:9">
      <c r="A61">
        <f>SUM(B28:B42)</f>
        <v>14</v>
      </c>
      <c r="B61" t="s">
        <v>140</v>
      </c>
    </row>
    <row r="62" spans="1:9">
      <c r="A62">
        <f>SUM(B45:B59)</f>
        <v>4</v>
      </c>
      <c r="B62" t="s">
        <v>139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Board</vt:lpstr>
      <vt:lpstr>Pieces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2024-09-15T12:26:21Z</dcterms:modified>
</cp:coreProperties>
</file>